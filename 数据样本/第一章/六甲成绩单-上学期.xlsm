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7927" codeName="{DF908ECD-C663-F43C-BE37-009161E9072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work\备课\语言信息处理\数据样本\"/>
    </mc:Choice>
  </mc:AlternateContent>
  <bookViews>
    <workbookView xWindow="600" yWindow="80" windowWidth="18140" windowHeight="7920"/>
  </bookViews>
  <sheets>
    <sheet name="成绩明细" sheetId="1" r:id="rId1"/>
    <sheet name="成绩单用" sheetId="2" r:id="rId2"/>
    <sheet name="排名" sheetId="3" r:id="rId3"/>
  </sheets>
  <calcPr calcId="162913"/>
</workbook>
</file>

<file path=xl/calcChain.xml><?xml version="1.0" encoding="utf-8"?>
<calcChain xmlns="http://schemas.openxmlformats.org/spreadsheetml/2006/main">
  <c r="AC33" i="2" l="1"/>
  <c r="AC6" i="2"/>
  <c r="AC7" i="2"/>
  <c r="AC8" i="2"/>
  <c r="AC9" i="2"/>
  <c r="AC10" i="2"/>
  <c r="AC11" i="2"/>
  <c r="AC12" i="2"/>
  <c r="AC13" i="2"/>
  <c r="AC14" i="2"/>
  <c r="AC15" i="2"/>
  <c r="AC17" i="2"/>
  <c r="AC18" i="2"/>
  <c r="AC19" i="2"/>
  <c r="AC20" i="2"/>
  <c r="AC21" i="2"/>
  <c r="AC22" i="2"/>
  <c r="AC23" i="2"/>
  <c r="AC24" i="2"/>
  <c r="AC25" i="2"/>
  <c r="AC26" i="2"/>
  <c r="AC27" i="2"/>
  <c r="AC28" i="2"/>
  <c r="AC29" i="2"/>
  <c r="AC30" i="2"/>
  <c r="AC31" i="2"/>
  <c r="AC32" i="2"/>
  <c r="AC34" i="2"/>
  <c r="AC35" i="2"/>
  <c r="AC36" i="2"/>
  <c r="AC37" i="2"/>
  <c r="AC38" i="2"/>
  <c r="AC39" i="2"/>
  <c r="AC5" i="2"/>
  <c r="R40" i="2"/>
  <c r="W40" i="2" s="1"/>
  <c r="R39" i="2"/>
  <c r="W39" i="2" s="1"/>
  <c r="R38" i="2"/>
  <c r="W38" i="2" s="1"/>
  <c r="R37" i="2"/>
  <c r="W37" i="2" s="1"/>
  <c r="R36" i="2"/>
  <c r="W36" i="2" s="1"/>
  <c r="R35" i="2"/>
  <c r="W35" i="2" s="1"/>
  <c r="R34" i="2"/>
  <c r="W34" i="2" s="1"/>
  <c r="R33" i="2"/>
  <c r="W33" i="2" s="1"/>
  <c r="R32" i="2"/>
  <c r="W32" i="2" s="1"/>
  <c r="R31" i="2"/>
  <c r="W31" i="2" s="1"/>
  <c r="R30" i="2"/>
  <c r="W30" i="2" s="1"/>
  <c r="R29" i="2"/>
  <c r="W29" i="2" s="1"/>
  <c r="R28" i="2"/>
  <c r="W28" i="2" s="1"/>
  <c r="W27" i="2"/>
  <c r="R27" i="2"/>
  <c r="R26" i="2"/>
  <c r="W26" i="2" s="1"/>
  <c r="R25" i="2"/>
  <c r="W25" i="2" s="1"/>
  <c r="R24" i="2"/>
  <c r="W24" i="2" s="1"/>
  <c r="R23" i="2"/>
  <c r="W23" i="2" s="1"/>
  <c r="R22" i="2"/>
  <c r="R21" i="2"/>
  <c r="W21" i="2" s="1"/>
  <c r="R20" i="2"/>
  <c r="W20" i="2" s="1"/>
  <c r="R19" i="2"/>
  <c r="W19" i="2" s="1"/>
  <c r="R18" i="2"/>
  <c r="W18" i="2" s="1"/>
  <c r="R17" i="2"/>
  <c r="W17" i="2" s="1"/>
  <c r="R16" i="2"/>
  <c r="W16" i="2" s="1"/>
  <c r="R15" i="2"/>
  <c r="W15" i="2" s="1"/>
  <c r="R14" i="2"/>
  <c r="W14" i="2" s="1"/>
  <c r="R13" i="2"/>
  <c r="W13" i="2" s="1"/>
  <c r="R12" i="2"/>
  <c r="R11" i="2"/>
  <c r="W11" i="2" s="1"/>
  <c r="R10" i="2"/>
  <c r="W10" i="2" s="1"/>
  <c r="R9" i="2"/>
  <c r="W9" i="2" s="1"/>
  <c r="R8" i="2"/>
  <c r="W8" i="2" s="1"/>
  <c r="R7" i="2"/>
  <c r="W7" i="2" s="1"/>
  <c r="R6" i="2"/>
  <c r="W6" i="2" s="1"/>
  <c r="R5" i="2"/>
  <c r="W5" i="2" s="1"/>
  <c r="R5" i="1"/>
  <c r="W5" i="1" s="1"/>
  <c r="R6" i="1"/>
  <c r="W6" i="1" s="1"/>
  <c r="R7" i="1"/>
  <c r="W7" i="1" s="1"/>
  <c r="R8" i="1"/>
  <c r="W8" i="1" s="1"/>
  <c r="R9" i="1"/>
  <c r="W9" i="1" s="1"/>
  <c r="R10" i="1"/>
  <c r="W10" i="1" s="1"/>
  <c r="R11" i="1"/>
  <c r="W11" i="1" s="1"/>
  <c r="R12" i="1"/>
  <c r="W12" i="1" s="1"/>
  <c r="R13" i="1"/>
  <c r="W13" i="1" s="1"/>
  <c r="R14" i="1"/>
  <c r="W14" i="1" s="1"/>
  <c r="R15" i="1"/>
  <c r="W15" i="1" s="1"/>
  <c r="R16" i="1"/>
  <c r="W16" i="1" s="1"/>
  <c r="R17" i="1"/>
  <c r="W17" i="1" s="1"/>
  <c r="R18" i="1"/>
  <c r="W18" i="1" s="1"/>
  <c r="R19" i="1"/>
  <c r="W19" i="1" s="1"/>
  <c r="R20" i="1"/>
  <c r="W20" i="1" s="1"/>
  <c r="R21" i="1"/>
  <c r="W21" i="1" s="1"/>
  <c r="R22" i="1"/>
  <c r="W22" i="1" s="1"/>
  <c r="R23" i="1"/>
  <c r="W23" i="1" s="1"/>
  <c r="R24" i="1"/>
  <c r="W24" i="1" s="1"/>
  <c r="R25" i="1"/>
  <c r="W25" i="1" s="1"/>
  <c r="R26" i="1"/>
  <c r="W26" i="1" s="1"/>
  <c r="R27" i="1"/>
  <c r="W27" i="1" s="1"/>
  <c r="R28" i="1"/>
  <c r="W28" i="1" s="1"/>
  <c r="R29" i="1"/>
  <c r="W29" i="1" s="1"/>
  <c r="R30" i="1"/>
  <c r="W30" i="1" s="1"/>
  <c r="R31" i="1"/>
  <c r="W31" i="1" s="1"/>
  <c r="R32" i="1"/>
  <c r="W32" i="1" s="1"/>
  <c r="R33" i="1"/>
  <c r="W33" i="1" s="1"/>
  <c r="R34" i="1"/>
  <c r="W34" i="1" s="1"/>
  <c r="R35" i="1"/>
  <c r="W35" i="1" s="1"/>
  <c r="R36" i="1"/>
  <c r="W36" i="1" s="1"/>
  <c r="R37" i="1"/>
  <c r="W37" i="1" s="1"/>
  <c r="R38" i="1"/>
  <c r="W38" i="1" s="1"/>
  <c r="R39" i="1"/>
  <c r="W39" i="1" s="1"/>
  <c r="R4" i="1"/>
  <c r="W4" i="1" s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" i="1"/>
  <c r="J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</calcChain>
</file>

<file path=xl/sharedStrings.xml><?xml version="1.0" encoding="utf-8"?>
<sst xmlns="http://schemas.openxmlformats.org/spreadsheetml/2006/main" count="291" uniqueCount="85">
  <si>
    <t>六甲学生成绩登记表</t>
    <phoneticPr fontId="2" type="noConversion"/>
  </si>
  <si>
    <t>序号</t>
    <phoneticPr fontId="2" type="noConversion"/>
  </si>
  <si>
    <t>姓名</t>
    <phoneticPr fontId="2" type="noConversion"/>
  </si>
  <si>
    <t>其末考试 30%</t>
    <phoneticPr fontId="2" type="noConversion"/>
  </si>
  <si>
    <t>上学期分</t>
    <phoneticPr fontId="2" type="noConversion"/>
  </si>
  <si>
    <t>总分</t>
    <phoneticPr fontId="2" type="noConversion"/>
  </si>
  <si>
    <t>听力</t>
    <phoneticPr fontId="2" type="noConversion"/>
  </si>
  <si>
    <t>阅读</t>
    <phoneticPr fontId="2" type="noConversion"/>
  </si>
  <si>
    <t>写作</t>
    <phoneticPr fontId="2" type="noConversion"/>
  </si>
  <si>
    <t>写字</t>
    <phoneticPr fontId="2" type="noConversion"/>
  </si>
  <si>
    <t>李树明</t>
  </si>
  <si>
    <t>孙吉才</t>
  </si>
  <si>
    <t>杨功育</t>
  </si>
  <si>
    <t>徐文孔</t>
  </si>
  <si>
    <t>农利通</t>
  </si>
  <si>
    <t>施联财</t>
  </si>
  <si>
    <t>班文通</t>
  </si>
  <si>
    <t>符永乐</t>
  </si>
  <si>
    <t>田金茂</t>
  </si>
  <si>
    <t>王龙才</t>
  </si>
  <si>
    <t>黄天文</t>
  </si>
  <si>
    <t>潘文南</t>
  </si>
  <si>
    <t>刘树财</t>
  </si>
  <si>
    <t>张志文</t>
  </si>
  <si>
    <t>叶名贵</t>
  </si>
  <si>
    <t>彭思东</t>
    <phoneticPr fontId="5" type="noConversion"/>
  </si>
  <si>
    <t>施乐文</t>
  </si>
  <si>
    <t>韦珠丽</t>
  </si>
  <si>
    <t>曾蝉莲</t>
  </si>
  <si>
    <t>农素华</t>
  </si>
  <si>
    <t>汪丽芳</t>
    <phoneticPr fontId="2" type="noConversion"/>
  </si>
  <si>
    <t>王金兰</t>
  </si>
  <si>
    <t>文丽华</t>
  </si>
  <si>
    <t>管美丽</t>
    <phoneticPr fontId="5" type="noConversion"/>
  </si>
  <si>
    <t>金丽雅</t>
  </si>
  <si>
    <t>黄丽香</t>
  </si>
  <si>
    <t>黄素贞</t>
  </si>
  <si>
    <t>莫美丽</t>
  </si>
  <si>
    <t>曾丽珠</t>
  </si>
  <si>
    <t>陈婵连</t>
  </si>
  <si>
    <t>施尚美</t>
  </si>
  <si>
    <t>许丽娜</t>
  </si>
  <si>
    <t>杜安安</t>
  </si>
  <si>
    <t>王丽美</t>
  </si>
  <si>
    <t>彭佩佩</t>
  </si>
  <si>
    <r>
      <t xml:space="preserve">余 </t>
    </r>
    <r>
      <rPr>
        <sz val="12"/>
        <rFont val="宋体"/>
        <family val="3"/>
        <charset val="134"/>
      </rPr>
      <t xml:space="preserve"> </t>
    </r>
    <r>
      <rPr>
        <sz val="11"/>
        <color theme="1"/>
        <rFont val="宋体"/>
        <family val="2"/>
        <charset val="134"/>
        <scheme val="minor"/>
      </rPr>
      <t>悦</t>
    </r>
    <phoneticPr fontId="5" type="noConversion"/>
  </si>
  <si>
    <t>平时</t>
    <phoneticPr fontId="1" type="noConversion"/>
  </si>
  <si>
    <t>总分</t>
    <phoneticPr fontId="2" type="noConversion"/>
  </si>
  <si>
    <t>礼貌</t>
    <phoneticPr fontId="1" type="noConversion"/>
  </si>
  <si>
    <t>纪律</t>
    <phoneticPr fontId="1" type="noConversion"/>
  </si>
  <si>
    <t>整洁</t>
    <phoneticPr fontId="1" type="noConversion"/>
  </si>
  <si>
    <t>服务</t>
    <phoneticPr fontId="1" type="noConversion"/>
  </si>
  <si>
    <t>总计</t>
    <phoneticPr fontId="1" type="noConversion"/>
  </si>
  <si>
    <t>A</t>
  </si>
  <si>
    <t>A+</t>
  </si>
  <si>
    <t>B+</t>
  </si>
  <si>
    <t>B</t>
  </si>
  <si>
    <t>C</t>
  </si>
  <si>
    <t>C+</t>
  </si>
  <si>
    <t>学习20%</t>
    <phoneticPr fontId="1" type="noConversion"/>
  </si>
  <si>
    <t>迟到</t>
    <phoneticPr fontId="1" type="noConversion"/>
  </si>
  <si>
    <t>缺席</t>
    <phoneticPr fontId="1" type="noConversion"/>
  </si>
  <si>
    <t>早退</t>
    <phoneticPr fontId="1" type="noConversion"/>
  </si>
  <si>
    <t>病假</t>
    <phoneticPr fontId="1" type="noConversion"/>
  </si>
  <si>
    <t>事假</t>
    <phoneticPr fontId="1" type="noConversion"/>
  </si>
  <si>
    <t>扣分</t>
    <phoneticPr fontId="1" type="noConversion"/>
  </si>
  <si>
    <t>全勤奖分</t>
    <phoneticPr fontId="1" type="noConversion"/>
  </si>
  <si>
    <t>等级</t>
    <phoneticPr fontId="1" type="noConversion"/>
  </si>
  <si>
    <t>操行成绩</t>
    <phoneticPr fontId="2" type="noConversion"/>
  </si>
  <si>
    <t>考勤成绩</t>
    <phoneticPr fontId="2" type="noConversion"/>
  </si>
  <si>
    <t>其中考试 30%</t>
    <phoneticPr fontId="2" type="noConversion"/>
  </si>
  <si>
    <t>最终成绩</t>
    <phoneticPr fontId="1" type="noConversion"/>
  </si>
  <si>
    <t>六甲学生成绩登记表</t>
    <phoneticPr fontId="2" type="noConversion"/>
  </si>
  <si>
    <t>此成绩为最终标准成绩，成绩单以此为准！</t>
    <phoneticPr fontId="1" type="noConversion"/>
  </si>
  <si>
    <t>学号</t>
    <phoneticPr fontId="1" type="noConversion"/>
  </si>
  <si>
    <t>姓名</t>
    <phoneticPr fontId="1" type="noConversion"/>
  </si>
  <si>
    <t>成绩</t>
    <phoneticPr fontId="1" type="noConversion"/>
  </si>
  <si>
    <t>排名</t>
    <phoneticPr fontId="1" type="noConversion"/>
  </si>
  <si>
    <t>排名</t>
    <phoneticPr fontId="2" type="noConversion"/>
  </si>
  <si>
    <t>排名</t>
    <phoneticPr fontId="1" type="noConversion"/>
  </si>
  <si>
    <t>C+</t>
    <phoneticPr fontId="1" type="noConversion"/>
  </si>
  <si>
    <t>操行</t>
    <phoneticPr fontId="1" type="noConversion"/>
  </si>
  <si>
    <t>其末考试 30%</t>
    <phoneticPr fontId="1" type="noConversion"/>
  </si>
  <si>
    <t>操行成绩</t>
    <phoneticPr fontId="2" type="noConversion"/>
  </si>
  <si>
    <r>
      <t xml:space="preserve">余 </t>
    </r>
    <r>
      <rPr>
        <sz val="11"/>
        <color theme="1"/>
        <rFont val="宋体"/>
        <family val="3"/>
        <charset val="134"/>
        <scheme val="minor"/>
      </rPr>
      <t xml:space="preserve"> </t>
    </r>
    <r>
      <rPr>
        <sz val="11"/>
        <color theme="1"/>
        <rFont val="宋体"/>
        <family val="2"/>
        <charset val="134"/>
        <scheme val="minor"/>
      </rPr>
      <t>悦</t>
    </r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</si>
</sst>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76" formatCode="0_ "/>
    <numFmt numFmtId="177" formatCode="0.00_ "/>
    <numFmt numFmtId="178" formatCode="0.00_);[Red]\(0.00\)"/>
    <numFmt numFmtId="179" formatCode="0_);[Red]\(0\)"/>
  </numFmts>
  <fonts count="19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9"/>
      <name val="宋体"/>
      <family val="3"/>
      <charset val="134"/>
    </font>
    <font>
      <sz val="10.5"/>
      <color theme="1"/>
      <name val="Times New Roman"/>
      <family val="1"/>
    </font>
    <font>
      <sz val="12"/>
      <name val="宋体"/>
      <family val="3"/>
      <charset val="134"/>
    </font>
    <font>
      <sz val="8"/>
      <name val="Arial"/>
      <family val="2"/>
    </font>
    <font>
      <sz val="16"/>
      <color theme="1"/>
      <name val="宋体"/>
      <family val="2"/>
      <charset val="134"/>
      <scheme val="minor"/>
    </font>
    <font>
      <sz val="16"/>
      <color theme="1"/>
      <name val="宋体"/>
      <family val="3"/>
      <charset val="134"/>
      <scheme val="minor"/>
    </font>
    <font>
      <sz val="11"/>
      <color rgb="FFFF0000"/>
      <name val="宋体"/>
      <family val="2"/>
      <charset val="134"/>
      <scheme val="minor"/>
    </font>
    <font>
      <sz val="11"/>
      <color rgb="FF00B050"/>
      <name val="宋体"/>
      <family val="2"/>
      <charset val="134"/>
      <scheme val="minor"/>
    </font>
    <font>
      <sz val="16"/>
      <color rgb="FFFF0000"/>
      <name val="宋体"/>
      <family val="2"/>
      <charset val="134"/>
      <scheme val="minor"/>
    </font>
    <font>
      <sz val="11"/>
      <color rgb="FF006100"/>
      <name val="宋体"/>
      <family val="2"/>
      <charset val="134"/>
      <scheme val="minor"/>
    </font>
    <font>
      <sz val="11"/>
      <color theme="0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0"/>
      <name val="宋体"/>
      <family val="2"/>
      <charset val="134"/>
      <scheme val="minor"/>
    </font>
    <font>
      <sz val="11"/>
      <color rgb="FF006100"/>
      <name val="宋体"/>
      <family val="2"/>
      <charset val="134"/>
      <scheme val="minor"/>
    </font>
    <font>
      <sz val="10.5"/>
      <color theme="1"/>
      <name val="Times New Roman"/>
      <family val="1"/>
    </font>
    <font>
      <sz val="12"/>
      <name val="宋体"/>
      <family val="3"/>
      <charset val="134"/>
    </font>
    <font>
      <sz val="11"/>
      <color theme="1"/>
      <name val="宋体"/>
      <family val="3"/>
      <charset val="134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gradientFill degree="90">
        <stop position="0">
          <color theme="0"/>
        </stop>
        <stop position="0.5">
          <color theme="4"/>
        </stop>
        <stop position="1">
          <color theme="0"/>
        </stop>
      </gradientFill>
    </fill>
    <fill>
      <gradientFill degree="90">
        <stop position="0">
          <color theme="0"/>
        </stop>
        <stop position="1">
          <color theme="4"/>
        </stop>
      </gradientFill>
    </fill>
    <fill>
      <gradientFill degree="90">
        <stop position="0">
          <color theme="6" tint="0.59999389629810485"/>
        </stop>
        <stop position="0.5">
          <color theme="6" tint="-0.25098422193060094"/>
        </stop>
        <stop position="1">
          <color theme="6" tint="0.59999389629810485"/>
        </stop>
      </gradient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theme="4"/>
      </patternFill>
    </fill>
    <fill>
      <patternFill patternType="solid">
        <fgColor theme="6"/>
      </patternFill>
    </fill>
  </fills>
  <borders count="11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</borders>
  <cellStyleXfs count="4">
    <xf numFmtId="0" fontId="0" fillId="0" borderId="0">
      <alignment vertical="center"/>
    </xf>
    <xf numFmtId="0" fontId="11" fillId="7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</cellStyleXfs>
  <cellXfs count="71">
    <xf numFmtId="0" fontId="0" fillId="0" borderId="0" xfId="0">
      <alignment vertical="center"/>
    </xf>
    <xf numFmtId="0" fontId="0" fillId="0" borderId="4" xfId="0" applyBorder="1" applyAlignment="1">
      <alignment horizontal="center" vertical="center" wrapText="1"/>
    </xf>
    <xf numFmtId="0" fontId="0" fillId="2" borderId="4" xfId="0" applyFill="1" applyBorder="1" applyAlignment="1">
      <alignment horizontal="center" vertical="center" wrapText="1"/>
    </xf>
    <xf numFmtId="0" fontId="0" fillId="0" borderId="4" xfId="0" applyBorder="1">
      <alignment vertical="center"/>
    </xf>
    <xf numFmtId="0" fontId="0" fillId="0" borderId="4" xfId="0" applyBorder="1" applyAlignment="1"/>
    <xf numFmtId="0" fontId="3" fillId="0" borderId="4" xfId="0" applyFont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0" fontId="4" fillId="0" borderId="4" xfId="0" applyFont="1" applyBorder="1" applyAlignment="1"/>
    <xf numFmtId="176" fontId="3" fillId="2" borderId="4" xfId="0" applyNumberFormat="1" applyFont="1" applyFill="1" applyBorder="1" applyAlignment="1">
      <alignment horizontal="center" vertical="center" wrapText="1"/>
    </xf>
    <xf numFmtId="9" fontId="0" fillId="2" borderId="4" xfId="0" applyNumberFormat="1" applyFill="1" applyBorder="1" applyAlignment="1">
      <alignment horizontal="center" vertical="center" wrapText="1"/>
    </xf>
    <xf numFmtId="176" fontId="0" fillId="0" borderId="4" xfId="0" applyNumberFormat="1" applyBorder="1">
      <alignment vertical="center"/>
    </xf>
    <xf numFmtId="176" fontId="3" fillId="0" borderId="4" xfId="0" applyNumberFormat="1" applyFont="1" applyBorder="1" applyAlignment="1">
      <alignment horizontal="center" vertical="center" wrapText="1"/>
    </xf>
    <xf numFmtId="176" fontId="0" fillId="0" borderId="0" xfId="0" applyNumberFormat="1">
      <alignment vertical="center"/>
    </xf>
    <xf numFmtId="0" fontId="0" fillId="0" borderId="4" xfId="0" applyFill="1" applyBorder="1" applyAlignment="1">
      <alignment horizontal="center" vertical="center" wrapText="1"/>
    </xf>
    <xf numFmtId="177" fontId="0" fillId="0" borderId="4" xfId="0" applyNumberFormat="1" applyFill="1" applyBorder="1" applyAlignment="1">
      <alignment horizontal="center" vertical="center" wrapText="1"/>
    </xf>
    <xf numFmtId="176" fontId="3" fillId="3" borderId="4" xfId="0" applyNumberFormat="1" applyFont="1" applyFill="1" applyBorder="1" applyAlignment="1">
      <alignment horizontal="center" vertical="center" wrapText="1"/>
    </xf>
    <xf numFmtId="178" fontId="0" fillId="0" borderId="0" xfId="0" applyNumberFormat="1">
      <alignment vertical="center"/>
    </xf>
    <xf numFmtId="179" fontId="3" fillId="2" borderId="4" xfId="0" applyNumberFormat="1" applyFont="1" applyFill="1" applyBorder="1" applyAlignment="1">
      <alignment horizontal="center" vertical="center" wrapText="1"/>
    </xf>
    <xf numFmtId="179" fontId="0" fillId="0" borderId="0" xfId="0" applyNumberFormat="1">
      <alignment vertical="center"/>
    </xf>
    <xf numFmtId="0" fontId="0" fillId="0" borderId="1" xfId="0" applyFill="1" applyBorder="1" applyAlignment="1">
      <alignment horizontal="center" vertical="center" wrapText="1"/>
    </xf>
    <xf numFmtId="0" fontId="0" fillId="0" borderId="1" xfId="0" applyBorder="1">
      <alignment vertical="center"/>
    </xf>
    <xf numFmtId="0" fontId="0" fillId="3" borderId="4" xfId="0" applyFill="1" applyBorder="1">
      <alignment vertical="center"/>
    </xf>
    <xf numFmtId="177" fontId="0" fillId="3" borderId="4" xfId="0" applyNumberFormat="1" applyFill="1" applyBorder="1">
      <alignment vertical="center"/>
    </xf>
    <xf numFmtId="177" fontId="0" fillId="0" borderId="4" xfId="0" applyNumberFormat="1" applyFill="1" applyBorder="1">
      <alignment vertical="center"/>
    </xf>
    <xf numFmtId="177" fontId="8" fillId="0" borderId="4" xfId="0" applyNumberFormat="1" applyFont="1" applyFill="1" applyBorder="1">
      <alignment vertical="center"/>
    </xf>
    <xf numFmtId="177" fontId="9" fillId="0" borderId="4" xfId="0" applyNumberFormat="1" applyFont="1" applyFill="1" applyBorder="1">
      <alignment vertical="center"/>
    </xf>
    <xf numFmtId="0" fontId="0" fillId="0" borderId="10" xfId="0" applyFill="1" applyBorder="1" applyAlignment="1">
      <alignment horizontal="center" vertical="center" wrapText="1"/>
    </xf>
    <xf numFmtId="0" fontId="0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10" fillId="6" borderId="0" xfId="0" applyFont="1" applyFill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0" fillId="4" borderId="1" xfId="0" applyFont="1" applyFill="1" applyBorder="1" applyAlignment="1">
      <alignment horizontal="center" vertical="center"/>
    </xf>
    <xf numFmtId="0" fontId="0" fillId="4" borderId="2" xfId="0" applyFont="1" applyFill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4" borderId="4" xfId="0" applyFont="1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0" fontId="0" fillId="3" borderId="7" xfId="0" applyFill="1" applyBorder="1" applyAlignment="1">
      <alignment horizontal="center" vertical="center" wrapText="1"/>
    </xf>
    <xf numFmtId="0" fontId="0" fillId="3" borderId="8" xfId="0" applyFill="1" applyBorder="1" applyAlignment="1">
      <alignment horizontal="center" vertical="center" wrapText="1"/>
    </xf>
    <xf numFmtId="0" fontId="13" fillId="0" borderId="1" xfId="0" applyFont="1" applyBorder="1" applyAlignment="1">
      <alignment horizontal="center" vertical="center"/>
    </xf>
    <xf numFmtId="0" fontId="13" fillId="0" borderId="2" xfId="0" applyFont="1" applyBorder="1" applyAlignment="1">
      <alignment horizontal="center" vertical="center"/>
    </xf>
    <xf numFmtId="0" fontId="13" fillId="0" borderId="3" xfId="0" applyFont="1" applyBorder="1" applyAlignment="1">
      <alignment horizontal="center" vertical="center"/>
    </xf>
    <xf numFmtId="0" fontId="13" fillId="0" borderId="0" xfId="0" applyFont="1">
      <alignment vertical="center"/>
    </xf>
    <xf numFmtId="0" fontId="13" fillId="0" borderId="4" xfId="0" applyFont="1" applyBorder="1" applyAlignment="1">
      <alignment horizontal="center" vertical="center"/>
    </xf>
    <xf numFmtId="0" fontId="14" fillId="8" borderId="1" xfId="2" applyFont="1" applyBorder="1" applyAlignment="1">
      <alignment horizontal="center" vertical="center"/>
    </xf>
    <xf numFmtId="0" fontId="14" fillId="8" borderId="3" xfId="2" applyFont="1" applyBorder="1" applyAlignment="1">
      <alignment horizontal="center" vertical="center"/>
    </xf>
    <xf numFmtId="0" fontId="14" fillId="9" borderId="1" xfId="3" applyFont="1" applyBorder="1" applyAlignment="1">
      <alignment horizontal="center" vertical="center"/>
    </xf>
    <xf numFmtId="0" fontId="14" fillId="9" borderId="2" xfId="3" applyFont="1" applyBorder="1" applyAlignment="1">
      <alignment horizontal="center" vertical="center"/>
    </xf>
    <xf numFmtId="0" fontId="15" fillId="7" borderId="4" xfId="1" applyFont="1" applyBorder="1" applyAlignment="1">
      <alignment horizontal="center" vertical="center" wrapText="1"/>
    </xf>
    <xf numFmtId="0" fontId="14" fillId="9" borderId="1" xfId="3" applyFont="1" applyBorder="1" applyAlignment="1">
      <alignment horizontal="center" vertical="center"/>
    </xf>
    <xf numFmtId="0" fontId="14" fillId="8" borderId="1" xfId="2" applyFont="1" applyBorder="1" applyAlignment="1">
      <alignment horizontal="center" vertical="center"/>
    </xf>
    <xf numFmtId="0" fontId="13" fillId="2" borderId="4" xfId="0" applyFont="1" applyFill="1" applyBorder="1" applyAlignment="1">
      <alignment horizontal="center" vertical="center" wrapText="1"/>
    </xf>
    <xf numFmtId="9" fontId="13" fillId="2" borderId="4" xfId="0" applyNumberFormat="1" applyFont="1" applyFill="1" applyBorder="1" applyAlignment="1">
      <alignment horizontal="center" vertical="center" wrapText="1"/>
    </xf>
    <xf numFmtId="0" fontId="13" fillId="0" borderId="4" xfId="0" applyFont="1" applyBorder="1" applyAlignment="1">
      <alignment horizontal="center" vertical="center" wrapText="1"/>
    </xf>
    <xf numFmtId="176" fontId="16" fillId="2" borderId="4" xfId="0" applyNumberFormat="1" applyFont="1" applyFill="1" applyBorder="1" applyAlignment="1">
      <alignment horizontal="center" vertical="center" wrapText="1"/>
    </xf>
    <xf numFmtId="0" fontId="13" fillId="0" borderId="4" xfId="0" applyFont="1" applyBorder="1">
      <alignment vertical="center"/>
    </xf>
    <xf numFmtId="0" fontId="13" fillId="0" borderId="4" xfId="0" applyFont="1" applyFill="1" applyBorder="1" applyAlignment="1">
      <alignment horizontal="center" vertical="center" wrapText="1"/>
    </xf>
    <xf numFmtId="177" fontId="13" fillId="0" borderId="4" xfId="0" applyNumberFormat="1" applyFont="1" applyFill="1" applyBorder="1" applyAlignment="1">
      <alignment horizontal="center" vertical="center" wrapText="1"/>
    </xf>
    <xf numFmtId="0" fontId="13" fillId="0" borderId="9" xfId="0" applyFont="1" applyFill="1" applyBorder="1" applyAlignment="1">
      <alignment horizontal="center" vertical="center" wrapText="1"/>
    </xf>
    <xf numFmtId="0" fontId="13" fillId="0" borderId="4" xfId="0" applyFont="1" applyBorder="1" applyAlignment="1"/>
    <xf numFmtId="0" fontId="16" fillId="0" borderId="4" xfId="0" applyFont="1" applyBorder="1" applyAlignment="1">
      <alignment horizontal="center" vertical="center" wrapText="1"/>
    </xf>
    <xf numFmtId="0" fontId="16" fillId="2" borderId="4" xfId="0" applyFont="1" applyFill="1" applyBorder="1" applyAlignment="1">
      <alignment horizontal="center" vertical="center" wrapText="1"/>
    </xf>
    <xf numFmtId="176" fontId="16" fillId="0" borderId="4" xfId="0" applyNumberFormat="1" applyFont="1" applyBorder="1" applyAlignment="1">
      <alignment horizontal="center" vertical="center" wrapText="1"/>
    </xf>
    <xf numFmtId="176" fontId="15" fillId="7" borderId="4" xfId="1" applyNumberFormat="1" applyFont="1" applyBorder="1" applyAlignment="1">
      <alignment horizontal="center" vertical="center" wrapText="1"/>
    </xf>
    <xf numFmtId="176" fontId="13" fillId="0" borderId="4" xfId="0" applyNumberFormat="1" applyFont="1" applyBorder="1">
      <alignment vertical="center"/>
    </xf>
    <xf numFmtId="0" fontId="17" fillId="0" borderId="4" xfId="0" applyFont="1" applyBorder="1" applyAlignment="1"/>
    <xf numFmtId="176" fontId="13" fillId="0" borderId="0" xfId="0" applyNumberFormat="1" applyFont="1">
      <alignment vertical="center"/>
    </xf>
  </cellXfs>
  <cellStyles count="4">
    <cellStyle name="常规" xfId="0" builtinId="0"/>
    <cellStyle name="好" xfId="1" builtinId="26"/>
    <cellStyle name="着色 1" xfId="2" builtinId="29"/>
    <cellStyle name="着色 3" xfId="3" builtinId="37"/>
  </cellStyles>
  <dxfs count="0"/>
  <tableStyles count="0" defaultTableStyle="TableStyleMedium9" defaultPivotStyle="PivotStyleLight16"/>
  <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F40"/>
  <sheetViews>
    <sheetView tabSelected="1" zoomScale="130" zoomScaleNormal="130" workbookViewId="0">
      <pane ySplit="3" topLeftCell="A4" activePane="bottomLeft" state="frozen"/>
      <selection pane="bottomLeft" activeCell="W10" sqref="W10"/>
    </sheetView>
  </sheetViews>
  <sheetFormatPr defaultRowHeight="14" x14ac:dyDescent="0.25"/>
  <cols>
    <col min="1" max="1" width="4.08984375" style="46" customWidth="1"/>
    <col min="2" max="2" width="6.6328125" style="46" customWidth="1"/>
    <col min="3" max="24" width="4.6328125" style="46" customWidth="1"/>
    <col min="25" max="25" width="4.36328125" style="46" customWidth="1"/>
    <col min="26" max="37" width="4.6328125" style="46" customWidth="1"/>
    <col min="38" max="16384" width="8.7265625" style="46"/>
  </cols>
  <sheetData>
    <row r="1" spans="1:32" x14ac:dyDescent="0.25">
      <c r="A1" s="43" t="s">
        <v>0</v>
      </c>
      <c r="B1" s="44"/>
      <c r="C1" s="44"/>
      <c r="D1" s="44"/>
      <c r="E1" s="44"/>
      <c r="F1" s="44"/>
      <c r="G1" s="44"/>
      <c r="H1" s="44"/>
      <c r="I1" s="44"/>
      <c r="J1" s="44"/>
      <c r="K1" s="44"/>
      <c r="L1" s="44"/>
      <c r="M1" s="44"/>
      <c r="N1" s="44"/>
      <c r="O1" s="44"/>
      <c r="P1" s="44"/>
      <c r="Q1" s="45"/>
    </row>
    <row r="2" spans="1:32" x14ac:dyDescent="0.25">
      <c r="A2" s="47" t="s">
        <v>1</v>
      </c>
      <c r="B2" s="47" t="s">
        <v>2</v>
      </c>
      <c r="C2" s="48" t="s">
        <v>46</v>
      </c>
      <c r="D2" s="49"/>
      <c r="E2" s="50" t="s">
        <v>70</v>
      </c>
      <c r="F2" s="51"/>
      <c r="G2" s="51"/>
      <c r="H2" s="51"/>
      <c r="I2" s="51"/>
      <c r="J2" s="51"/>
      <c r="K2" s="48" t="s">
        <v>82</v>
      </c>
      <c r="L2" s="49"/>
      <c r="M2" s="48"/>
      <c r="N2" s="49"/>
      <c r="O2" s="48"/>
      <c r="P2" s="49"/>
      <c r="Q2" s="52" t="s">
        <v>4</v>
      </c>
      <c r="R2" s="50" t="s">
        <v>83</v>
      </c>
      <c r="S2" s="51"/>
      <c r="T2" s="51"/>
      <c r="U2" s="51"/>
      <c r="V2" s="51"/>
      <c r="W2" s="51"/>
      <c r="X2" s="53"/>
      <c r="Y2" s="48" t="s">
        <v>69</v>
      </c>
      <c r="Z2" s="49"/>
      <c r="AA2" s="48"/>
      <c r="AB2" s="49"/>
      <c r="AC2" s="48"/>
      <c r="AD2" s="49"/>
      <c r="AE2" s="54"/>
    </row>
    <row r="3" spans="1:32" ht="28" x14ac:dyDescent="0.25">
      <c r="A3" s="47"/>
      <c r="B3" s="47"/>
      <c r="C3" s="55" t="s">
        <v>5</v>
      </c>
      <c r="D3" s="56">
        <v>0.4</v>
      </c>
      <c r="E3" s="57" t="s">
        <v>6</v>
      </c>
      <c r="F3" s="57" t="s">
        <v>7</v>
      </c>
      <c r="G3" s="57" t="s">
        <v>9</v>
      </c>
      <c r="H3" s="57" t="s">
        <v>8</v>
      </c>
      <c r="I3" s="55" t="s">
        <v>47</v>
      </c>
      <c r="J3" s="56">
        <v>0.3</v>
      </c>
      <c r="K3" s="57" t="s">
        <v>6</v>
      </c>
      <c r="L3" s="57" t="s">
        <v>7</v>
      </c>
      <c r="M3" s="57" t="s">
        <v>9</v>
      </c>
      <c r="N3" s="57" t="s">
        <v>8</v>
      </c>
      <c r="O3" s="55" t="s">
        <v>5</v>
      </c>
      <c r="P3" s="56">
        <v>0.3</v>
      </c>
      <c r="Q3" s="52"/>
      <c r="R3" s="59" t="s">
        <v>59</v>
      </c>
      <c r="S3" s="59" t="s">
        <v>48</v>
      </c>
      <c r="T3" s="59" t="s">
        <v>49</v>
      </c>
      <c r="U3" s="59" t="s">
        <v>50</v>
      </c>
      <c r="V3" s="59" t="s">
        <v>51</v>
      </c>
      <c r="W3" s="59" t="s">
        <v>52</v>
      </c>
      <c r="X3" s="59" t="s">
        <v>67</v>
      </c>
      <c r="Y3" s="60" t="s">
        <v>60</v>
      </c>
      <c r="Z3" s="60" t="s">
        <v>61</v>
      </c>
      <c r="AA3" s="60" t="s">
        <v>62</v>
      </c>
      <c r="AB3" s="60" t="s">
        <v>63</v>
      </c>
      <c r="AC3" s="60" t="s">
        <v>64</v>
      </c>
      <c r="AD3" s="61" t="s">
        <v>65</v>
      </c>
      <c r="AE3" s="60" t="s">
        <v>66</v>
      </c>
      <c r="AF3" s="62" t="s">
        <v>78</v>
      </c>
    </row>
    <row r="4" spans="1:32" x14ac:dyDescent="0.25">
      <c r="A4" s="59">
        <v>1</v>
      </c>
      <c r="B4" s="63" t="s">
        <v>10</v>
      </c>
      <c r="C4" s="58">
        <v>86</v>
      </c>
      <c r="D4" s="58">
        <f>C4*0.4</f>
        <v>34.4</v>
      </c>
      <c r="E4" s="64">
        <v>19</v>
      </c>
      <c r="F4" s="64">
        <v>34</v>
      </c>
      <c r="G4" s="64">
        <v>16</v>
      </c>
      <c r="H4" s="64">
        <v>20</v>
      </c>
      <c r="I4" s="65">
        <v>89</v>
      </c>
      <c r="J4" s="58">
        <f>I4*0.3</f>
        <v>26.7</v>
      </c>
      <c r="K4" s="66">
        <v>21</v>
      </c>
      <c r="L4" s="66">
        <v>30</v>
      </c>
      <c r="M4" s="66">
        <v>17</v>
      </c>
      <c r="N4" s="66">
        <v>17</v>
      </c>
      <c r="O4" s="58">
        <v>85</v>
      </c>
      <c r="P4" s="58">
        <f>O4*0.3</f>
        <v>25.5</v>
      </c>
      <c r="Q4" s="67">
        <v>86.6</v>
      </c>
      <c r="R4" s="68">
        <f>Q4*0.2</f>
        <v>17.32</v>
      </c>
      <c r="S4" s="59">
        <v>18</v>
      </c>
      <c r="T4" s="59">
        <v>17</v>
      </c>
      <c r="U4" s="59">
        <v>20</v>
      </c>
      <c r="V4" s="59">
        <v>17</v>
      </c>
      <c r="W4" s="68">
        <f>R4+S4+T4+U4+V4</f>
        <v>89.32</v>
      </c>
      <c r="X4" s="59" t="s">
        <v>55</v>
      </c>
      <c r="Y4" s="59"/>
      <c r="Z4" s="59"/>
      <c r="AA4" s="59"/>
      <c r="AB4" s="59"/>
      <c r="AC4" s="59"/>
      <c r="AD4" s="59"/>
      <c r="AE4" s="59">
        <v>1</v>
      </c>
      <c r="AF4" s="59">
        <v>7</v>
      </c>
    </row>
    <row r="5" spans="1:32" x14ac:dyDescent="0.25">
      <c r="A5" s="59">
        <v>2</v>
      </c>
      <c r="B5" s="63" t="s">
        <v>11</v>
      </c>
      <c r="C5" s="58">
        <v>85</v>
      </c>
      <c r="D5" s="58">
        <f t="shared" ref="D5:D39" si="0">C5*0.4</f>
        <v>34</v>
      </c>
      <c r="E5" s="64">
        <v>18</v>
      </c>
      <c r="F5" s="64">
        <v>38</v>
      </c>
      <c r="G5" s="64">
        <v>17</v>
      </c>
      <c r="H5" s="64">
        <v>17</v>
      </c>
      <c r="I5" s="65">
        <v>90</v>
      </c>
      <c r="J5" s="58">
        <f t="shared" ref="J5:J39" si="1">I5*0.3</f>
        <v>27</v>
      </c>
      <c r="K5" s="66">
        <v>27</v>
      </c>
      <c r="L5" s="66">
        <v>30</v>
      </c>
      <c r="M5" s="66">
        <v>18</v>
      </c>
      <c r="N5" s="66">
        <v>17</v>
      </c>
      <c r="O5" s="58">
        <v>92</v>
      </c>
      <c r="P5" s="58">
        <f t="shared" ref="P5:P39" si="2">O5*0.3</f>
        <v>27.599999999999998</v>
      </c>
      <c r="Q5" s="67">
        <v>88.6</v>
      </c>
      <c r="R5" s="68">
        <f t="shared" ref="R5:R39" si="3">Q5*0.2</f>
        <v>17.72</v>
      </c>
      <c r="S5" s="59">
        <v>17</v>
      </c>
      <c r="T5" s="59">
        <v>16</v>
      </c>
      <c r="U5" s="59">
        <v>19</v>
      </c>
      <c r="V5" s="59">
        <v>17</v>
      </c>
      <c r="W5" s="68">
        <f t="shared" ref="W5:W39" si="4">R5+S5+T5+U5+V5</f>
        <v>86.72</v>
      </c>
      <c r="X5" s="59" t="s">
        <v>55</v>
      </c>
      <c r="Y5" s="59"/>
      <c r="Z5" s="59"/>
      <c r="AA5" s="59"/>
      <c r="AB5" s="59"/>
      <c r="AC5" s="59"/>
      <c r="AD5" s="59"/>
      <c r="AE5" s="59">
        <v>1</v>
      </c>
      <c r="AF5" s="59">
        <v>6</v>
      </c>
    </row>
    <row r="6" spans="1:32" x14ac:dyDescent="0.25">
      <c r="A6" s="59">
        <v>3</v>
      </c>
      <c r="B6" s="63" t="s">
        <v>12</v>
      </c>
      <c r="C6" s="58">
        <v>86</v>
      </c>
      <c r="D6" s="58">
        <f t="shared" si="0"/>
        <v>34.4</v>
      </c>
      <c r="E6" s="64">
        <v>12</v>
      </c>
      <c r="F6" s="64">
        <v>33</v>
      </c>
      <c r="G6" s="64">
        <v>15</v>
      </c>
      <c r="H6" s="64">
        <v>18</v>
      </c>
      <c r="I6" s="65">
        <v>78</v>
      </c>
      <c r="J6" s="58">
        <f t="shared" si="1"/>
        <v>23.4</v>
      </c>
      <c r="K6" s="66">
        <v>22.5</v>
      </c>
      <c r="L6" s="66">
        <v>16.5</v>
      </c>
      <c r="M6" s="66">
        <v>17</v>
      </c>
      <c r="N6" s="66">
        <v>6</v>
      </c>
      <c r="O6" s="58">
        <v>62</v>
      </c>
      <c r="P6" s="58">
        <f t="shared" si="2"/>
        <v>18.599999999999998</v>
      </c>
      <c r="Q6" s="67">
        <v>76.400000000000006</v>
      </c>
      <c r="R6" s="68">
        <f t="shared" si="3"/>
        <v>15.280000000000001</v>
      </c>
      <c r="S6" s="59">
        <v>18</v>
      </c>
      <c r="T6" s="59">
        <v>17</v>
      </c>
      <c r="U6" s="59">
        <v>19</v>
      </c>
      <c r="V6" s="59">
        <v>17</v>
      </c>
      <c r="W6" s="68">
        <f t="shared" si="4"/>
        <v>86.28</v>
      </c>
      <c r="X6" s="59" t="s">
        <v>55</v>
      </c>
      <c r="Y6" s="59"/>
      <c r="Z6" s="59"/>
      <c r="AA6" s="59"/>
      <c r="AB6" s="59"/>
      <c r="AC6" s="59"/>
      <c r="AD6" s="59"/>
      <c r="AE6" s="59">
        <v>1</v>
      </c>
      <c r="AF6" s="59">
        <v>16</v>
      </c>
    </row>
    <row r="7" spans="1:32" x14ac:dyDescent="0.25">
      <c r="A7" s="59">
        <v>4</v>
      </c>
      <c r="B7" s="63" t="s">
        <v>13</v>
      </c>
      <c r="C7" s="58">
        <v>66</v>
      </c>
      <c r="D7" s="58">
        <f t="shared" si="0"/>
        <v>26.400000000000002</v>
      </c>
      <c r="E7" s="64">
        <v>13</v>
      </c>
      <c r="F7" s="64">
        <v>17</v>
      </c>
      <c r="G7" s="64">
        <v>15</v>
      </c>
      <c r="H7" s="64">
        <v>5</v>
      </c>
      <c r="I7" s="65">
        <v>50</v>
      </c>
      <c r="J7" s="58">
        <f t="shared" si="1"/>
        <v>15</v>
      </c>
      <c r="K7" s="66">
        <v>25.5</v>
      </c>
      <c r="L7" s="66">
        <v>10.5</v>
      </c>
      <c r="M7" s="66">
        <v>17</v>
      </c>
      <c r="N7" s="66">
        <v>7</v>
      </c>
      <c r="O7" s="58">
        <v>60</v>
      </c>
      <c r="P7" s="58">
        <f t="shared" si="2"/>
        <v>18</v>
      </c>
      <c r="Q7" s="67">
        <v>59.400000000000006</v>
      </c>
      <c r="R7" s="68">
        <f t="shared" si="3"/>
        <v>11.880000000000003</v>
      </c>
      <c r="S7" s="59">
        <v>15</v>
      </c>
      <c r="T7" s="59">
        <v>15</v>
      </c>
      <c r="U7" s="59">
        <v>18</v>
      </c>
      <c r="V7" s="59">
        <v>15</v>
      </c>
      <c r="W7" s="68">
        <f t="shared" si="4"/>
        <v>74.88</v>
      </c>
      <c r="X7" s="59" t="s">
        <v>57</v>
      </c>
      <c r="Y7" s="59"/>
      <c r="Z7" s="59"/>
      <c r="AA7" s="59"/>
      <c r="AB7" s="59">
        <v>1</v>
      </c>
      <c r="AC7" s="59"/>
      <c r="AD7" s="59"/>
      <c r="AE7" s="59"/>
      <c r="AF7" s="59">
        <v>36</v>
      </c>
    </row>
    <row r="8" spans="1:32" x14ac:dyDescent="0.25">
      <c r="A8" s="59">
        <v>5</v>
      </c>
      <c r="B8" s="63" t="s">
        <v>14</v>
      </c>
      <c r="C8" s="58">
        <v>74</v>
      </c>
      <c r="D8" s="58">
        <f t="shared" si="0"/>
        <v>29.6</v>
      </c>
      <c r="E8" s="64">
        <v>17</v>
      </c>
      <c r="F8" s="64">
        <v>35</v>
      </c>
      <c r="G8" s="64">
        <v>16</v>
      </c>
      <c r="H8" s="64">
        <v>16</v>
      </c>
      <c r="I8" s="65">
        <v>84</v>
      </c>
      <c r="J8" s="58">
        <f t="shared" si="1"/>
        <v>25.2</v>
      </c>
      <c r="K8" s="66">
        <v>22.5</v>
      </c>
      <c r="L8" s="66">
        <v>18</v>
      </c>
      <c r="M8" s="66">
        <v>18</v>
      </c>
      <c r="N8" s="66">
        <v>9</v>
      </c>
      <c r="O8" s="58">
        <v>67.5</v>
      </c>
      <c r="P8" s="58">
        <f t="shared" si="2"/>
        <v>20.25</v>
      </c>
      <c r="Q8" s="67">
        <v>75.05</v>
      </c>
      <c r="R8" s="68">
        <f t="shared" si="3"/>
        <v>15.01</v>
      </c>
      <c r="S8" s="59">
        <v>17</v>
      </c>
      <c r="T8" s="59">
        <v>16</v>
      </c>
      <c r="U8" s="59">
        <v>18</v>
      </c>
      <c r="V8" s="59">
        <v>16</v>
      </c>
      <c r="W8" s="68">
        <f t="shared" si="4"/>
        <v>82.009999999999991</v>
      </c>
      <c r="X8" s="59" t="s">
        <v>56</v>
      </c>
      <c r="Y8" s="59"/>
      <c r="Z8" s="59"/>
      <c r="AA8" s="59"/>
      <c r="AB8" s="59"/>
      <c r="AC8" s="59"/>
      <c r="AD8" s="59"/>
      <c r="AE8" s="59">
        <v>1</v>
      </c>
      <c r="AF8" s="59">
        <v>18</v>
      </c>
    </row>
    <row r="9" spans="1:32" x14ac:dyDescent="0.25">
      <c r="A9" s="59">
        <v>6</v>
      </c>
      <c r="B9" s="63" t="s">
        <v>15</v>
      </c>
      <c r="C9" s="58">
        <v>75</v>
      </c>
      <c r="D9" s="58">
        <f t="shared" si="0"/>
        <v>30</v>
      </c>
      <c r="E9" s="64">
        <v>16</v>
      </c>
      <c r="F9" s="64">
        <v>33</v>
      </c>
      <c r="G9" s="64">
        <v>16</v>
      </c>
      <c r="H9" s="64">
        <v>17</v>
      </c>
      <c r="I9" s="65">
        <v>82</v>
      </c>
      <c r="J9" s="58">
        <f t="shared" si="1"/>
        <v>24.599999999999998</v>
      </c>
      <c r="K9" s="66">
        <v>16.5</v>
      </c>
      <c r="L9" s="66">
        <v>12</v>
      </c>
      <c r="M9" s="66">
        <v>18</v>
      </c>
      <c r="N9" s="66">
        <v>7</v>
      </c>
      <c r="O9" s="58">
        <v>53.5</v>
      </c>
      <c r="P9" s="58">
        <f t="shared" si="2"/>
        <v>16.05</v>
      </c>
      <c r="Q9" s="67">
        <v>70.649999999999991</v>
      </c>
      <c r="R9" s="68">
        <f t="shared" si="3"/>
        <v>14.129999999999999</v>
      </c>
      <c r="S9" s="59">
        <v>16</v>
      </c>
      <c r="T9" s="59">
        <v>15</v>
      </c>
      <c r="U9" s="59">
        <v>18</v>
      </c>
      <c r="V9" s="59">
        <v>16</v>
      </c>
      <c r="W9" s="68">
        <f t="shared" si="4"/>
        <v>79.13</v>
      </c>
      <c r="X9" s="59" t="s">
        <v>58</v>
      </c>
      <c r="Y9" s="59"/>
      <c r="Z9" s="59"/>
      <c r="AA9" s="59"/>
      <c r="AB9" s="59"/>
      <c r="AC9" s="59"/>
      <c r="AD9" s="59"/>
      <c r="AE9" s="59">
        <v>1</v>
      </c>
      <c r="AF9" s="59">
        <v>23</v>
      </c>
    </row>
    <row r="10" spans="1:32" x14ac:dyDescent="0.25">
      <c r="A10" s="59">
        <v>7</v>
      </c>
      <c r="B10" s="63" t="s">
        <v>16</v>
      </c>
      <c r="C10" s="58">
        <v>77</v>
      </c>
      <c r="D10" s="58">
        <f t="shared" si="0"/>
        <v>30.8</v>
      </c>
      <c r="E10" s="64">
        <v>14</v>
      </c>
      <c r="F10" s="64">
        <v>20</v>
      </c>
      <c r="G10" s="64">
        <v>16</v>
      </c>
      <c r="H10" s="64">
        <v>18</v>
      </c>
      <c r="I10" s="65">
        <v>68</v>
      </c>
      <c r="J10" s="58">
        <f t="shared" si="1"/>
        <v>20.399999999999999</v>
      </c>
      <c r="K10" s="66">
        <v>24</v>
      </c>
      <c r="L10" s="66">
        <v>9</v>
      </c>
      <c r="M10" s="66">
        <v>17</v>
      </c>
      <c r="N10" s="66">
        <v>14</v>
      </c>
      <c r="O10" s="58">
        <v>64</v>
      </c>
      <c r="P10" s="58">
        <f t="shared" si="2"/>
        <v>19.2</v>
      </c>
      <c r="Q10" s="67">
        <v>70.400000000000006</v>
      </c>
      <c r="R10" s="68">
        <f t="shared" si="3"/>
        <v>14.080000000000002</v>
      </c>
      <c r="S10" s="59">
        <v>16</v>
      </c>
      <c r="T10" s="59">
        <v>16</v>
      </c>
      <c r="U10" s="59">
        <v>18</v>
      </c>
      <c r="V10" s="59">
        <v>16</v>
      </c>
      <c r="W10" s="68">
        <f t="shared" si="4"/>
        <v>80.08</v>
      </c>
      <c r="X10" s="59" t="s">
        <v>56</v>
      </c>
      <c r="Y10" s="59"/>
      <c r="Z10" s="59"/>
      <c r="AA10" s="59"/>
      <c r="AB10" s="59"/>
      <c r="AC10" s="59"/>
      <c r="AD10" s="59"/>
      <c r="AE10" s="59">
        <v>1</v>
      </c>
      <c r="AF10" s="59">
        <v>24</v>
      </c>
    </row>
    <row r="11" spans="1:32" x14ac:dyDescent="0.25">
      <c r="A11" s="59">
        <v>8</v>
      </c>
      <c r="B11" s="63" t="s">
        <v>17</v>
      </c>
      <c r="C11" s="58">
        <v>76</v>
      </c>
      <c r="D11" s="58">
        <f t="shared" si="0"/>
        <v>30.400000000000002</v>
      </c>
      <c r="E11" s="64">
        <v>11</v>
      </c>
      <c r="F11" s="64">
        <v>17</v>
      </c>
      <c r="G11" s="64">
        <v>16</v>
      </c>
      <c r="H11" s="64">
        <v>6</v>
      </c>
      <c r="I11" s="65">
        <v>50</v>
      </c>
      <c r="J11" s="58">
        <f t="shared" si="1"/>
        <v>15</v>
      </c>
      <c r="K11" s="66">
        <v>22.5</v>
      </c>
      <c r="L11" s="66">
        <v>18</v>
      </c>
      <c r="M11" s="66">
        <v>18</v>
      </c>
      <c r="N11" s="66">
        <v>5</v>
      </c>
      <c r="O11" s="58">
        <v>63.5</v>
      </c>
      <c r="P11" s="58">
        <f t="shared" si="2"/>
        <v>19.05</v>
      </c>
      <c r="Q11" s="67">
        <v>64.45</v>
      </c>
      <c r="R11" s="68">
        <f t="shared" si="3"/>
        <v>12.89</v>
      </c>
      <c r="S11" s="59">
        <v>16</v>
      </c>
      <c r="T11" s="59">
        <v>16</v>
      </c>
      <c r="U11" s="59">
        <v>19</v>
      </c>
      <c r="V11" s="59">
        <v>16</v>
      </c>
      <c r="W11" s="68">
        <f t="shared" si="4"/>
        <v>79.89</v>
      </c>
      <c r="X11" s="59" t="s">
        <v>56</v>
      </c>
      <c r="Y11" s="59"/>
      <c r="Z11" s="59"/>
      <c r="AA11" s="59"/>
      <c r="AB11" s="59"/>
      <c r="AC11" s="59"/>
      <c r="AD11" s="59"/>
      <c r="AE11" s="59">
        <v>1</v>
      </c>
      <c r="AF11" s="59">
        <v>33</v>
      </c>
    </row>
    <row r="12" spans="1:32" x14ac:dyDescent="0.25">
      <c r="A12" s="59">
        <v>9</v>
      </c>
      <c r="B12" s="63" t="s">
        <v>18</v>
      </c>
      <c r="C12" s="58">
        <v>80</v>
      </c>
      <c r="D12" s="58">
        <f t="shared" si="0"/>
        <v>32</v>
      </c>
      <c r="E12" s="64">
        <v>16</v>
      </c>
      <c r="F12" s="64">
        <v>30</v>
      </c>
      <c r="G12" s="64">
        <v>15</v>
      </c>
      <c r="H12" s="64">
        <v>12</v>
      </c>
      <c r="I12" s="65">
        <v>73</v>
      </c>
      <c r="J12" s="58">
        <f t="shared" si="1"/>
        <v>21.9</v>
      </c>
      <c r="K12" s="66">
        <v>18</v>
      </c>
      <c r="L12" s="66">
        <v>12</v>
      </c>
      <c r="M12" s="66">
        <v>18</v>
      </c>
      <c r="N12" s="66">
        <v>6</v>
      </c>
      <c r="O12" s="58">
        <v>54</v>
      </c>
      <c r="P12" s="58">
        <f t="shared" si="2"/>
        <v>16.2</v>
      </c>
      <c r="Q12" s="67">
        <v>70.099999999999994</v>
      </c>
      <c r="R12" s="68">
        <f t="shared" si="3"/>
        <v>14.02</v>
      </c>
      <c r="S12" s="59">
        <v>16</v>
      </c>
      <c r="T12" s="59">
        <v>16</v>
      </c>
      <c r="U12" s="59">
        <v>18</v>
      </c>
      <c r="V12" s="59">
        <v>16</v>
      </c>
      <c r="W12" s="68">
        <f t="shared" si="4"/>
        <v>80.02</v>
      </c>
      <c r="X12" s="59" t="s">
        <v>56</v>
      </c>
      <c r="Y12" s="59"/>
      <c r="Z12" s="59"/>
      <c r="AA12" s="59"/>
      <c r="AB12" s="59"/>
      <c r="AC12" s="59"/>
      <c r="AD12" s="59"/>
      <c r="AE12" s="59">
        <v>1</v>
      </c>
      <c r="AF12" s="59">
        <v>24</v>
      </c>
    </row>
    <row r="13" spans="1:32" x14ac:dyDescent="0.25">
      <c r="A13" s="59">
        <v>10</v>
      </c>
      <c r="B13" s="63" t="s">
        <v>19</v>
      </c>
      <c r="C13" s="58">
        <v>74</v>
      </c>
      <c r="D13" s="58">
        <f t="shared" si="0"/>
        <v>29.6</v>
      </c>
      <c r="E13" s="64">
        <v>19</v>
      </c>
      <c r="F13" s="64">
        <v>26</v>
      </c>
      <c r="G13" s="64">
        <v>16</v>
      </c>
      <c r="H13" s="64">
        <v>17</v>
      </c>
      <c r="I13" s="65">
        <v>78</v>
      </c>
      <c r="J13" s="58">
        <f t="shared" si="1"/>
        <v>23.4</v>
      </c>
      <c r="K13" s="66">
        <v>16.5</v>
      </c>
      <c r="L13" s="66">
        <v>12</v>
      </c>
      <c r="M13" s="66">
        <v>15</v>
      </c>
      <c r="N13" s="66">
        <v>8</v>
      </c>
      <c r="O13" s="58">
        <v>51.5</v>
      </c>
      <c r="P13" s="58">
        <f t="shared" si="2"/>
        <v>15.45</v>
      </c>
      <c r="Q13" s="67">
        <v>68.45</v>
      </c>
      <c r="R13" s="68">
        <f t="shared" si="3"/>
        <v>13.690000000000001</v>
      </c>
      <c r="S13" s="59">
        <v>17</v>
      </c>
      <c r="T13" s="59">
        <v>17</v>
      </c>
      <c r="U13" s="59">
        <v>19</v>
      </c>
      <c r="V13" s="59">
        <v>16</v>
      </c>
      <c r="W13" s="68">
        <f t="shared" si="4"/>
        <v>82.69</v>
      </c>
      <c r="X13" s="59" t="s">
        <v>56</v>
      </c>
      <c r="Y13" s="59"/>
      <c r="Z13" s="59"/>
      <c r="AA13" s="59"/>
      <c r="AB13" s="59"/>
      <c r="AC13" s="59"/>
      <c r="AD13" s="59"/>
      <c r="AE13" s="59">
        <v>1</v>
      </c>
      <c r="AF13" s="59">
        <v>30</v>
      </c>
    </row>
    <row r="14" spans="1:32" x14ac:dyDescent="0.25">
      <c r="A14" s="59">
        <v>11</v>
      </c>
      <c r="B14" s="63" t="s">
        <v>20</v>
      </c>
      <c r="C14" s="58">
        <v>96</v>
      </c>
      <c r="D14" s="58">
        <f t="shared" si="0"/>
        <v>38.400000000000006</v>
      </c>
      <c r="E14" s="64">
        <v>20</v>
      </c>
      <c r="F14" s="64">
        <v>40</v>
      </c>
      <c r="G14" s="64">
        <v>17</v>
      </c>
      <c r="H14" s="64">
        <v>20</v>
      </c>
      <c r="I14" s="65">
        <v>97</v>
      </c>
      <c r="J14" s="58">
        <f t="shared" si="1"/>
        <v>29.099999999999998</v>
      </c>
      <c r="K14" s="66">
        <v>30</v>
      </c>
      <c r="L14" s="66">
        <v>30</v>
      </c>
      <c r="M14" s="66">
        <v>17</v>
      </c>
      <c r="N14" s="66">
        <v>19</v>
      </c>
      <c r="O14" s="58">
        <v>96</v>
      </c>
      <c r="P14" s="58">
        <f t="shared" si="2"/>
        <v>28.799999999999997</v>
      </c>
      <c r="Q14" s="67">
        <v>96.3</v>
      </c>
      <c r="R14" s="68">
        <f t="shared" si="3"/>
        <v>19.260000000000002</v>
      </c>
      <c r="S14" s="59">
        <v>20</v>
      </c>
      <c r="T14" s="59">
        <v>19</v>
      </c>
      <c r="U14" s="59">
        <v>20</v>
      </c>
      <c r="V14" s="59">
        <v>19</v>
      </c>
      <c r="W14" s="68">
        <f t="shared" si="4"/>
        <v>97.26</v>
      </c>
      <c r="X14" s="59" t="s">
        <v>54</v>
      </c>
      <c r="Y14" s="59"/>
      <c r="Z14" s="59"/>
      <c r="AA14" s="59"/>
      <c r="AB14" s="59"/>
      <c r="AC14" s="59">
        <v>1</v>
      </c>
      <c r="AD14" s="59">
        <v>0.03</v>
      </c>
      <c r="AE14" s="59"/>
      <c r="AF14" s="59">
        <v>3</v>
      </c>
    </row>
    <row r="15" spans="1:32" x14ac:dyDescent="0.25">
      <c r="A15" s="59">
        <v>12</v>
      </c>
      <c r="B15" s="63" t="s">
        <v>21</v>
      </c>
      <c r="C15" s="58">
        <v>88</v>
      </c>
      <c r="D15" s="58">
        <f t="shared" si="0"/>
        <v>35.200000000000003</v>
      </c>
      <c r="E15" s="64">
        <v>17</v>
      </c>
      <c r="F15" s="64">
        <v>16</v>
      </c>
      <c r="G15" s="64">
        <v>16</v>
      </c>
      <c r="H15" s="64">
        <v>17</v>
      </c>
      <c r="I15" s="65">
        <v>66</v>
      </c>
      <c r="J15" s="58">
        <f t="shared" si="1"/>
        <v>19.8</v>
      </c>
      <c r="K15" s="66">
        <v>28.5</v>
      </c>
      <c r="L15" s="66">
        <v>30</v>
      </c>
      <c r="M15" s="66">
        <v>17</v>
      </c>
      <c r="N15" s="66">
        <v>19</v>
      </c>
      <c r="O15" s="58">
        <v>94.5</v>
      </c>
      <c r="P15" s="58">
        <f t="shared" si="2"/>
        <v>28.349999999999998</v>
      </c>
      <c r="Q15" s="67">
        <v>83.35</v>
      </c>
      <c r="R15" s="68">
        <f t="shared" si="3"/>
        <v>16.669999999999998</v>
      </c>
      <c r="S15" s="59">
        <v>17</v>
      </c>
      <c r="T15" s="59">
        <v>17</v>
      </c>
      <c r="U15" s="59">
        <v>19</v>
      </c>
      <c r="V15" s="59">
        <v>17</v>
      </c>
      <c r="W15" s="68">
        <f t="shared" si="4"/>
        <v>86.67</v>
      </c>
      <c r="X15" s="59" t="s">
        <v>55</v>
      </c>
      <c r="Y15" s="59"/>
      <c r="Z15" s="59"/>
      <c r="AA15" s="59"/>
      <c r="AB15" s="59"/>
      <c r="AC15" s="59">
        <v>2</v>
      </c>
      <c r="AD15" s="59"/>
      <c r="AE15" s="59"/>
      <c r="AF15" s="59">
        <v>11</v>
      </c>
    </row>
    <row r="16" spans="1:32" x14ac:dyDescent="0.25">
      <c r="A16" s="59">
        <v>13</v>
      </c>
      <c r="B16" s="63" t="s">
        <v>22</v>
      </c>
      <c r="C16" s="58">
        <v>95</v>
      </c>
      <c r="D16" s="58">
        <f t="shared" si="0"/>
        <v>38</v>
      </c>
      <c r="E16" s="64">
        <v>19</v>
      </c>
      <c r="F16" s="64">
        <v>34</v>
      </c>
      <c r="G16" s="64">
        <v>17</v>
      </c>
      <c r="H16" s="64">
        <v>19</v>
      </c>
      <c r="I16" s="65">
        <v>89</v>
      </c>
      <c r="J16" s="58">
        <f t="shared" si="1"/>
        <v>26.7</v>
      </c>
      <c r="K16" s="66">
        <v>24</v>
      </c>
      <c r="L16" s="66">
        <v>28.5</v>
      </c>
      <c r="M16" s="66">
        <v>18</v>
      </c>
      <c r="N16" s="66">
        <v>20</v>
      </c>
      <c r="O16" s="58">
        <v>90.5</v>
      </c>
      <c r="P16" s="58">
        <f t="shared" si="2"/>
        <v>27.15</v>
      </c>
      <c r="Q16" s="67">
        <v>91.85</v>
      </c>
      <c r="R16" s="68">
        <f t="shared" si="3"/>
        <v>18.37</v>
      </c>
      <c r="S16" s="59">
        <v>19</v>
      </c>
      <c r="T16" s="59">
        <v>19</v>
      </c>
      <c r="U16" s="59">
        <v>21</v>
      </c>
      <c r="V16" s="59">
        <v>19</v>
      </c>
      <c r="W16" s="68">
        <f t="shared" si="4"/>
        <v>96.37</v>
      </c>
      <c r="X16" s="59" t="s">
        <v>54</v>
      </c>
      <c r="Y16" s="59"/>
      <c r="Z16" s="59"/>
      <c r="AA16" s="59"/>
      <c r="AC16" s="59"/>
      <c r="AD16" s="59"/>
      <c r="AE16" s="59">
        <v>1</v>
      </c>
      <c r="AF16" s="59">
        <v>4</v>
      </c>
    </row>
    <row r="17" spans="1:32" x14ac:dyDescent="0.25">
      <c r="A17" s="59">
        <v>14</v>
      </c>
      <c r="B17" s="63" t="s">
        <v>23</v>
      </c>
      <c r="C17" s="58">
        <v>78</v>
      </c>
      <c r="D17" s="58">
        <f t="shared" si="0"/>
        <v>31.200000000000003</v>
      </c>
      <c r="E17" s="64">
        <v>16</v>
      </c>
      <c r="F17" s="64">
        <v>26</v>
      </c>
      <c r="G17" s="64">
        <v>16</v>
      </c>
      <c r="H17" s="64">
        <v>18</v>
      </c>
      <c r="I17" s="65">
        <v>76</v>
      </c>
      <c r="J17" s="58">
        <f t="shared" si="1"/>
        <v>22.8</v>
      </c>
      <c r="K17" s="66">
        <v>30</v>
      </c>
      <c r="L17" s="66">
        <v>30</v>
      </c>
      <c r="M17" s="66">
        <v>18</v>
      </c>
      <c r="N17" s="66">
        <v>15</v>
      </c>
      <c r="O17" s="58">
        <v>93</v>
      </c>
      <c r="P17" s="58">
        <f t="shared" si="2"/>
        <v>27.9</v>
      </c>
      <c r="Q17" s="67">
        <v>81.900000000000006</v>
      </c>
      <c r="R17" s="68">
        <f t="shared" si="3"/>
        <v>16.380000000000003</v>
      </c>
      <c r="S17" s="59">
        <v>17</v>
      </c>
      <c r="T17" s="59">
        <v>16</v>
      </c>
      <c r="U17" s="59">
        <v>19</v>
      </c>
      <c r="V17" s="59">
        <v>17</v>
      </c>
      <c r="W17" s="68">
        <f t="shared" si="4"/>
        <v>85.38</v>
      </c>
      <c r="X17" s="59" t="s">
        <v>56</v>
      </c>
      <c r="Y17" s="59"/>
      <c r="Z17" s="59"/>
      <c r="AA17" s="59"/>
      <c r="AB17" s="59">
        <v>5</v>
      </c>
      <c r="AD17" s="59"/>
      <c r="AE17" s="59"/>
      <c r="AF17" s="59">
        <v>13</v>
      </c>
    </row>
    <row r="18" spans="1:32" x14ac:dyDescent="0.25">
      <c r="A18" s="59">
        <v>15</v>
      </c>
      <c r="B18" s="63" t="s">
        <v>24</v>
      </c>
      <c r="C18" s="58">
        <v>77</v>
      </c>
      <c r="D18" s="58">
        <f t="shared" si="0"/>
        <v>30.8</v>
      </c>
      <c r="E18" s="64">
        <v>18</v>
      </c>
      <c r="F18" s="64">
        <v>25</v>
      </c>
      <c r="G18" s="64">
        <v>16</v>
      </c>
      <c r="H18" s="64">
        <v>18</v>
      </c>
      <c r="I18" s="65">
        <v>77</v>
      </c>
      <c r="J18" s="58">
        <f t="shared" si="1"/>
        <v>23.099999999999998</v>
      </c>
      <c r="K18" s="66">
        <v>27</v>
      </c>
      <c r="L18" s="66">
        <v>18</v>
      </c>
      <c r="M18" s="66">
        <v>17</v>
      </c>
      <c r="N18" s="66">
        <v>5</v>
      </c>
      <c r="O18" s="58">
        <v>67</v>
      </c>
      <c r="P18" s="58">
        <f t="shared" si="2"/>
        <v>20.099999999999998</v>
      </c>
      <c r="Q18" s="67">
        <v>74</v>
      </c>
      <c r="R18" s="68">
        <f t="shared" si="3"/>
        <v>14.8</v>
      </c>
      <c r="S18" s="59">
        <v>17</v>
      </c>
      <c r="T18" s="59">
        <v>17</v>
      </c>
      <c r="U18" s="59">
        <v>19</v>
      </c>
      <c r="V18" s="59">
        <v>17</v>
      </c>
      <c r="W18" s="68">
        <f t="shared" si="4"/>
        <v>84.8</v>
      </c>
      <c r="X18" s="59" t="s">
        <v>56</v>
      </c>
      <c r="Y18" s="59"/>
      <c r="Z18" s="59"/>
      <c r="AA18" s="59"/>
      <c r="AB18" s="59"/>
      <c r="AC18" s="59"/>
      <c r="AD18" s="59"/>
      <c r="AE18" s="59">
        <v>1</v>
      </c>
      <c r="AF18" s="59">
        <v>20</v>
      </c>
    </row>
    <row r="19" spans="1:32" ht="15" x14ac:dyDescent="0.25">
      <c r="A19" s="59">
        <v>16</v>
      </c>
      <c r="B19" s="69" t="s">
        <v>25</v>
      </c>
      <c r="C19" s="58">
        <v>79</v>
      </c>
      <c r="D19" s="58">
        <f t="shared" si="0"/>
        <v>31.6</v>
      </c>
      <c r="E19" s="64">
        <v>15</v>
      </c>
      <c r="F19" s="64">
        <v>24</v>
      </c>
      <c r="G19" s="64">
        <v>16</v>
      </c>
      <c r="H19" s="64">
        <v>4</v>
      </c>
      <c r="I19" s="65">
        <v>59</v>
      </c>
      <c r="J19" s="58">
        <f t="shared" si="1"/>
        <v>17.7</v>
      </c>
      <c r="K19" s="66">
        <v>21</v>
      </c>
      <c r="L19" s="66">
        <v>18</v>
      </c>
      <c r="M19" s="66">
        <v>16</v>
      </c>
      <c r="N19" s="66">
        <v>6</v>
      </c>
      <c r="O19" s="58">
        <v>61</v>
      </c>
      <c r="P19" s="58">
        <f t="shared" si="2"/>
        <v>18.3</v>
      </c>
      <c r="Q19" s="67">
        <v>67.599999999999994</v>
      </c>
      <c r="R19" s="68">
        <f t="shared" si="3"/>
        <v>13.52</v>
      </c>
      <c r="S19" s="59">
        <v>17</v>
      </c>
      <c r="T19" s="59">
        <v>16</v>
      </c>
      <c r="U19" s="59">
        <v>19</v>
      </c>
      <c r="V19" s="59">
        <v>17</v>
      </c>
      <c r="W19" s="68">
        <f t="shared" si="4"/>
        <v>82.52</v>
      </c>
      <c r="X19" s="59" t="s">
        <v>56</v>
      </c>
      <c r="Y19" s="59"/>
      <c r="Z19" s="59"/>
      <c r="AA19" s="59"/>
      <c r="AB19" s="59"/>
      <c r="AC19" s="59"/>
      <c r="AD19" s="59"/>
      <c r="AE19" s="59">
        <v>1</v>
      </c>
      <c r="AF19" s="59">
        <v>30</v>
      </c>
    </row>
    <row r="20" spans="1:32" x14ac:dyDescent="0.25">
      <c r="A20" s="59">
        <v>17</v>
      </c>
      <c r="B20" s="63" t="s">
        <v>26</v>
      </c>
      <c r="C20" s="58">
        <v>77</v>
      </c>
      <c r="D20" s="58">
        <f t="shared" si="0"/>
        <v>30.8</v>
      </c>
      <c r="E20" s="64">
        <v>19</v>
      </c>
      <c r="F20" s="64">
        <v>14</v>
      </c>
      <c r="G20" s="64">
        <v>16</v>
      </c>
      <c r="H20" s="64">
        <v>12</v>
      </c>
      <c r="I20" s="65">
        <v>61</v>
      </c>
      <c r="J20" s="58">
        <f t="shared" si="1"/>
        <v>18.3</v>
      </c>
      <c r="K20" s="66">
        <v>18</v>
      </c>
      <c r="L20" s="66">
        <v>7.5</v>
      </c>
      <c r="M20" s="66">
        <v>17</v>
      </c>
      <c r="N20" s="66">
        <v>11</v>
      </c>
      <c r="O20" s="58">
        <v>53.5</v>
      </c>
      <c r="P20" s="58">
        <f t="shared" si="2"/>
        <v>16.05</v>
      </c>
      <c r="Q20" s="67">
        <v>65.150000000000006</v>
      </c>
      <c r="R20" s="68">
        <f t="shared" si="3"/>
        <v>13.030000000000001</v>
      </c>
      <c r="S20" s="59">
        <v>15</v>
      </c>
      <c r="T20" s="59">
        <v>15</v>
      </c>
      <c r="U20" s="59">
        <v>19</v>
      </c>
      <c r="V20" s="59">
        <v>17</v>
      </c>
      <c r="W20" s="68">
        <f t="shared" si="4"/>
        <v>79.03</v>
      </c>
      <c r="X20" s="59" t="s">
        <v>58</v>
      </c>
      <c r="Y20" s="59"/>
      <c r="Z20" s="59"/>
      <c r="AA20" s="59"/>
      <c r="AB20" s="59"/>
      <c r="AC20" s="59"/>
      <c r="AD20" s="59"/>
      <c r="AE20" s="59">
        <v>1</v>
      </c>
      <c r="AF20" s="59">
        <v>32</v>
      </c>
    </row>
    <row r="21" spans="1:32" x14ac:dyDescent="0.25">
      <c r="A21" s="59">
        <v>18</v>
      </c>
      <c r="B21" s="63" t="s">
        <v>27</v>
      </c>
      <c r="C21" s="58">
        <v>97</v>
      </c>
      <c r="D21" s="58">
        <f t="shared" si="0"/>
        <v>38.800000000000004</v>
      </c>
      <c r="E21" s="64">
        <v>19</v>
      </c>
      <c r="F21" s="64">
        <v>38</v>
      </c>
      <c r="G21" s="64">
        <v>18</v>
      </c>
      <c r="H21" s="64">
        <v>20</v>
      </c>
      <c r="I21" s="65">
        <v>95</v>
      </c>
      <c r="J21" s="58">
        <f t="shared" si="1"/>
        <v>28.5</v>
      </c>
      <c r="K21" s="66">
        <v>25.5</v>
      </c>
      <c r="L21" s="66">
        <v>27</v>
      </c>
      <c r="M21" s="66">
        <v>18</v>
      </c>
      <c r="N21" s="66">
        <v>20</v>
      </c>
      <c r="O21" s="58">
        <v>90.5</v>
      </c>
      <c r="P21" s="58">
        <f t="shared" si="2"/>
        <v>27.15</v>
      </c>
      <c r="Q21" s="67">
        <v>94.450000000000017</v>
      </c>
      <c r="R21" s="68">
        <f t="shared" si="3"/>
        <v>18.890000000000004</v>
      </c>
      <c r="S21" s="59">
        <v>19</v>
      </c>
      <c r="T21" s="59">
        <v>19</v>
      </c>
      <c r="U21" s="59">
        <v>21</v>
      </c>
      <c r="V21" s="59">
        <v>17</v>
      </c>
      <c r="W21" s="68">
        <f t="shared" si="4"/>
        <v>94.89</v>
      </c>
      <c r="X21" s="59" t="s">
        <v>53</v>
      </c>
      <c r="Y21" s="59"/>
      <c r="Z21" s="59"/>
      <c r="AA21" s="59"/>
      <c r="AC21" s="59"/>
      <c r="AD21" s="59"/>
      <c r="AE21" s="59">
        <v>1</v>
      </c>
      <c r="AF21" s="59">
        <v>2</v>
      </c>
    </row>
    <row r="22" spans="1:32" x14ac:dyDescent="0.25">
      <c r="A22" s="59">
        <v>19</v>
      </c>
      <c r="B22" s="63" t="s">
        <v>28</v>
      </c>
      <c r="C22" s="58">
        <v>73</v>
      </c>
      <c r="D22" s="58">
        <f t="shared" si="0"/>
        <v>29.200000000000003</v>
      </c>
      <c r="E22" s="64">
        <v>20</v>
      </c>
      <c r="F22" s="64">
        <v>34</v>
      </c>
      <c r="G22" s="64">
        <v>15</v>
      </c>
      <c r="H22" s="64">
        <v>6</v>
      </c>
      <c r="I22" s="65">
        <v>75</v>
      </c>
      <c r="J22" s="58">
        <f t="shared" si="1"/>
        <v>22.5</v>
      </c>
      <c r="K22" s="66">
        <v>22.5</v>
      </c>
      <c r="L22" s="66">
        <v>15</v>
      </c>
      <c r="M22" s="66">
        <v>17</v>
      </c>
      <c r="N22" s="66">
        <v>8</v>
      </c>
      <c r="O22" s="58">
        <v>62.5</v>
      </c>
      <c r="P22" s="58">
        <f t="shared" si="2"/>
        <v>18.75</v>
      </c>
      <c r="Q22" s="67">
        <v>70.45</v>
      </c>
      <c r="R22" s="68">
        <f t="shared" si="3"/>
        <v>14.090000000000002</v>
      </c>
      <c r="S22" s="59">
        <v>17</v>
      </c>
      <c r="T22" s="59">
        <v>17</v>
      </c>
      <c r="U22" s="59">
        <v>19</v>
      </c>
      <c r="V22" s="59">
        <v>17</v>
      </c>
      <c r="W22" s="68">
        <f t="shared" si="4"/>
        <v>84.09</v>
      </c>
      <c r="X22" s="59" t="s">
        <v>56</v>
      </c>
      <c r="Y22" s="59"/>
      <c r="Z22" s="59"/>
      <c r="AA22" s="59"/>
      <c r="AB22" s="59">
        <v>2</v>
      </c>
      <c r="AC22" s="59">
        <v>2</v>
      </c>
      <c r="AD22" s="59">
        <v>0.06</v>
      </c>
      <c r="AF22" s="59">
        <v>28</v>
      </c>
    </row>
    <row r="23" spans="1:32" x14ac:dyDescent="0.25">
      <c r="A23" s="59">
        <v>20</v>
      </c>
      <c r="B23" s="63" t="s">
        <v>29</v>
      </c>
      <c r="C23" s="58">
        <v>85</v>
      </c>
      <c r="D23" s="58">
        <f t="shared" si="0"/>
        <v>34</v>
      </c>
      <c r="E23" s="64">
        <v>17</v>
      </c>
      <c r="F23" s="64">
        <v>38</v>
      </c>
      <c r="G23" s="64">
        <v>16</v>
      </c>
      <c r="H23" s="64">
        <v>19</v>
      </c>
      <c r="I23" s="65">
        <v>90</v>
      </c>
      <c r="J23" s="58">
        <f t="shared" si="1"/>
        <v>27</v>
      </c>
      <c r="K23" s="66">
        <v>28.5</v>
      </c>
      <c r="L23" s="66">
        <v>22.5</v>
      </c>
      <c r="M23" s="66">
        <v>18</v>
      </c>
      <c r="N23" s="66">
        <v>18</v>
      </c>
      <c r="O23" s="58">
        <v>87</v>
      </c>
      <c r="P23" s="58">
        <f t="shared" si="2"/>
        <v>26.099999999999998</v>
      </c>
      <c r="Q23" s="67">
        <v>87.1</v>
      </c>
      <c r="R23" s="68">
        <f t="shared" si="3"/>
        <v>17.419999999999998</v>
      </c>
      <c r="S23" s="59">
        <v>19</v>
      </c>
      <c r="T23" s="59">
        <v>18</v>
      </c>
      <c r="U23" s="59">
        <v>19</v>
      </c>
      <c r="V23" s="59">
        <v>17</v>
      </c>
      <c r="W23" s="68">
        <f t="shared" si="4"/>
        <v>90.42</v>
      </c>
      <c r="X23" s="59" t="s">
        <v>53</v>
      </c>
      <c r="Y23" s="59"/>
      <c r="Z23" s="59"/>
      <c r="AA23" s="59"/>
      <c r="AB23" s="59"/>
      <c r="AC23" s="59"/>
      <c r="AD23" s="59"/>
      <c r="AE23" s="59">
        <v>1</v>
      </c>
      <c r="AF23" s="59">
        <v>7</v>
      </c>
    </row>
    <row r="24" spans="1:32" x14ac:dyDescent="0.25">
      <c r="A24" s="59">
        <v>21</v>
      </c>
      <c r="B24" s="63" t="s">
        <v>30</v>
      </c>
      <c r="C24" s="58">
        <v>81</v>
      </c>
      <c r="D24" s="58">
        <f t="shared" si="0"/>
        <v>32.4</v>
      </c>
      <c r="E24" s="64">
        <v>17</v>
      </c>
      <c r="F24" s="64">
        <v>36</v>
      </c>
      <c r="G24" s="64">
        <v>18</v>
      </c>
      <c r="H24" s="64">
        <v>20</v>
      </c>
      <c r="I24" s="65">
        <v>91</v>
      </c>
      <c r="J24" s="58">
        <f t="shared" si="1"/>
        <v>27.3</v>
      </c>
      <c r="K24" s="66">
        <v>21</v>
      </c>
      <c r="L24" s="66">
        <v>16.5</v>
      </c>
      <c r="M24" s="66">
        <v>19</v>
      </c>
      <c r="N24" s="66">
        <v>16</v>
      </c>
      <c r="O24" s="58">
        <v>72.5</v>
      </c>
      <c r="P24" s="58">
        <f t="shared" si="2"/>
        <v>21.75</v>
      </c>
      <c r="Q24" s="67">
        <v>81.45</v>
      </c>
      <c r="R24" s="68">
        <f t="shared" si="3"/>
        <v>16.290000000000003</v>
      </c>
      <c r="S24" s="59">
        <v>16</v>
      </c>
      <c r="T24" s="59">
        <v>16</v>
      </c>
      <c r="U24" s="59">
        <v>19</v>
      </c>
      <c r="V24" s="59">
        <v>17</v>
      </c>
      <c r="W24" s="68">
        <f t="shared" si="4"/>
        <v>84.29</v>
      </c>
      <c r="X24" s="59" t="s">
        <v>56</v>
      </c>
      <c r="Y24" s="59"/>
      <c r="Z24" s="59"/>
      <c r="AA24" s="59"/>
      <c r="AB24" s="59"/>
      <c r="AC24" s="59"/>
      <c r="AD24" s="59"/>
      <c r="AE24" s="59">
        <v>1</v>
      </c>
      <c r="AF24" s="59">
        <v>13</v>
      </c>
    </row>
    <row r="25" spans="1:32" x14ac:dyDescent="0.25">
      <c r="A25" s="59">
        <v>22</v>
      </c>
      <c r="B25" s="63" t="s">
        <v>31</v>
      </c>
      <c r="C25" s="58">
        <v>74</v>
      </c>
      <c r="D25" s="58">
        <f t="shared" si="0"/>
        <v>29.6</v>
      </c>
      <c r="E25" s="64">
        <v>16</v>
      </c>
      <c r="F25" s="64">
        <v>16</v>
      </c>
      <c r="G25" s="64">
        <v>18</v>
      </c>
      <c r="H25" s="64">
        <v>0</v>
      </c>
      <c r="I25" s="65">
        <v>50</v>
      </c>
      <c r="J25" s="58">
        <f t="shared" si="1"/>
        <v>15</v>
      </c>
      <c r="K25" s="66">
        <v>21</v>
      </c>
      <c r="L25" s="66">
        <v>30</v>
      </c>
      <c r="M25" s="66">
        <v>18</v>
      </c>
      <c r="N25" s="66">
        <v>13</v>
      </c>
      <c r="O25" s="58">
        <v>82</v>
      </c>
      <c r="P25" s="58">
        <f t="shared" si="2"/>
        <v>24.599999999999998</v>
      </c>
      <c r="Q25" s="67">
        <v>69.2</v>
      </c>
      <c r="R25" s="68">
        <f t="shared" si="3"/>
        <v>13.840000000000002</v>
      </c>
      <c r="S25" s="59">
        <v>16</v>
      </c>
      <c r="T25" s="59">
        <v>16</v>
      </c>
      <c r="U25" s="59">
        <v>19</v>
      </c>
      <c r="V25" s="59">
        <v>17</v>
      </c>
      <c r="W25" s="68">
        <f t="shared" si="4"/>
        <v>81.84</v>
      </c>
      <c r="X25" s="59" t="s">
        <v>56</v>
      </c>
      <c r="Y25" s="59"/>
      <c r="Z25" s="59"/>
      <c r="AA25" s="59"/>
      <c r="AC25" s="59"/>
      <c r="AD25" s="59"/>
      <c r="AE25" s="59">
        <v>1</v>
      </c>
      <c r="AF25" s="59">
        <v>24</v>
      </c>
    </row>
    <row r="26" spans="1:32" x14ac:dyDescent="0.25">
      <c r="A26" s="59">
        <v>23</v>
      </c>
      <c r="B26" s="63" t="s">
        <v>32</v>
      </c>
      <c r="C26" s="58">
        <v>80</v>
      </c>
      <c r="D26" s="58">
        <f t="shared" si="0"/>
        <v>32</v>
      </c>
      <c r="E26" s="64">
        <v>18</v>
      </c>
      <c r="F26" s="64">
        <v>26</v>
      </c>
      <c r="G26" s="64">
        <v>16</v>
      </c>
      <c r="H26" s="64">
        <v>14</v>
      </c>
      <c r="I26" s="65">
        <v>74</v>
      </c>
      <c r="J26" s="58">
        <f t="shared" si="1"/>
        <v>22.2</v>
      </c>
      <c r="K26" s="66">
        <v>30</v>
      </c>
      <c r="L26" s="66">
        <v>30</v>
      </c>
      <c r="M26" s="66">
        <v>18</v>
      </c>
      <c r="N26" s="66">
        <v>14</v>
      </c>
      <c r="O26" s="58">
        <v>92</v>
      </c>
      <c r="P26" s="58">
        <f t="shared" si="2"/>
        <v>27.599999999999998</v>
      </c>
      <c r="Q26" s="67">
        <v>81.8</v>
      </c>
      <c r="R26" s="68">
        <f t="shared" si="3"/>
        <v>16.36</v>
      </c>
      <c r="S26" s="59">
        <v>17</v>
      </c>
      <c r="T26" s="59">
        <v>17</v>
      </c>
      <c r="U26" s="59">
        <v>19</v>
      </c>
      <c r="V26" s="59">
        <v>17</v>
      </c>
      <c r="W26" s="68">
        <f t="shared" si="4"/>
        <v>86.36</v>
      </c>
      <c r="X26" s="59" t="s">
        <v>55</v>
      </c>
      <c r="Y26" s="59"/>
      <c r="Z26" s="59"/>
      <c r="AA26" s="59"/>
      <c r="AB26" s="59">
        <v>1</v>
      </c>
      <c r="AC26" s="59"/>
      <c r="AD26" s="59"/>
      <c r="AE26" s="59"/>
      <c r="AF26" s="59">
        <v>13</v>
      </c>
    </row>
    <row r="27" spans="1:32" ht="15" x14ac:dyDescent="0.25">
      <c r="A27" s="59">
        <v>24</v>
      </c>
      <c r="B27" s="69" t="s">
        <v>33</v>
      </c>
      <c r="C27" s="58">
        <v>80</v>
      </c>
      <c r="D27" s="58">
        <f t="shared" si="0"/>
        <v>32</v>
      </c>
      <c r="E27" s="64">
        <v>18</v>
      </c>
      <c r="F27" s="64">
        <v>38</v>
      </c>
      <c r="G27" s="64">
        <v>17</v>
      </c>
      <c r="H27" s="64">
        <v>18</v>
      </c>
      <c r="I27" s="65">
        <v>91</v>
      </c>
      <c r="J27" s="58">
        <f t="shared" si="1"/>
        <v>27.3</v>
      </c>
      <c r="K27" s="66">
        <v>24</v>
      </c>
      <c r="L27" s="66">
        <v>12</v>
      </c>
      <c r="M27" s="66">
        <v>18</v>
      </c>
      <c r="N27" s="66">
        <v>6</v>
      </c>
      <c r="O27" s="58">
        <v>60</v>
      </c>
      <c r="P27" s="58">
        <f t="shared" si="2"/>
        <v>18</v>
      </c>
      <c r="Q27" s="67">
        <v>77.3</v>
      </c>
      <c r="R27" s="68">
        <f t="shared" si="3"/>
        <v>15.46</v>
      </c>
      <c r="S27" s="59">
        <v>18</v>
      </c>
      <c r="T27" s="59">
        <v>17</v>
      </c>
      <c r="U27" s="59">
        <v>19</v>
      </c>
      <c r="V27" s="59">
        <v>17</v>
      </c>
      <c r="W27" s="68">
        <f t="shared" si="4"/>
        <v>86.460000000000008</v>
      </c>
      <c r="X27" s="59" t="s">
        <v>55</v>
      </c>
      <c r="Y27" s="59"/>
      <c r="Z27" s="59"/>
      <c r="AA27" s="59"/>
      <c r="AB27" s="59">
        <v>4</v>
      </c>
      <c r="AC27" s="59"/>
      <c r="AD27" s="59"/>
      <c r="AE27" s="59"/>
      <c r="AF27" s="59">
        <v>16</v>
      </c>
    </row>
    <row r="28" spans="1:32" x14ac:dyDescent="0.25">
      <c r="A28" s="59">
        <v>25</v>
      </c>
      <c r="B28" s="63" t="s">
        <v>34</v>
      </c>
      <c r="C28" s="58">
        <v>77</v>
      </c>
      <c r="D28" s="58">
        <f t="shared" si="0"/>
        <v>30.8</v>
      </c>
      <c r="E28" s="64">
        <v>13</v>
      </c>
      <c r="F28" s="64">
        <v>30</v>
      </c>
      <c r="G28" s="64">
        <v>17</v>
      </c>
      <c r="H28" s="64">
        <v>16</v>
      </c>
      <c r="I28" s="65">
        <v>76</v>
      </c>
      <c r="J28" s="58">
        <f t="shared" si="1"/>
        <v>22.8</v>
      </c>
      <c r="K28" s="66">
        <v>19.5</v>
      </c>
      <c r="L28" s="66">
        <v>30</v>
      </c>
      <c r="M28" s="66">
        <v>18</v>
      </c>
      <c r="N28" s="66">
        <v>6</v>
      </c>
      <c r="O28" s="58">
        <v>73.5</v>
      </c>
      <c r="P28" s="58">
        <f t="shared" si="2"/>
        <v>22.05</v>
      </c>
      <c r="Q28" s="67">
        <v>75.650000000000006</v>
      </c>
      <c r="R28" s="68">
        <f t="shared" si="3"/>
        <v>15.130000000000003</v>
      </c>
      <c r="S28" s="59">
        <v>17</v>
      </c>
      <c r="T28" s="59">
        <v>16</v>
      </c>
      <c r="U28" s="59">
        <v>19</v>
      </c>
      <c r="V28" s="59">
        <v>17</v>
      </c>
      <c r="W28" s="68">
        <f t="shared" si="4"/>
        <v>84.13</v>
      </c>
      <c r="X28" s="59" t="s">
        <v>56</v>
      </c>
      <c r="Y28" s="59"/>
      <c r="Z28" s="59"/>
      <c r="AA28" s="59"/>
      <c r="AB28" s="59">
        <v>2</v>
      </c>
      <c r="AC28" s="59"/>
      <c r="AD28" s="59"/>
      <c r="AE28" s="59"/>
      <c r="AF28" s="59">
        <v>18</v>
      </c>
    </row>
    <row r="29" spans="1:32" x14ac:dyDescent="0.25">
      <c r="A29" s="59">
        <v>26</v>
      </c>
      <c r="B29" s="63" t="s">
        <v>35</v>
      </c>
      <c r="C29" s="58">
        <v>85</v>
      </c>
      <c r="D29" s="58">
        <f t="shared" si="0"/>
        <v>34</v>
      </c>
      <c r="E29" s="64">
        <v>18</v>
      </c>
      <c r="F29" s="64">
        <v>28</v>
      </c>
      <c r="G29" s="64">
        <v>17</v>
      </c>
      <c r="H29" s="64">
        <v>20</v>
      </c>
      <c r="I29" s="65">
        <v>83</v>
      </c>
      <c r="J29" s="58">
        <f t="shared" si="1"/>
        <v>24.9</v>
      </c>
      <c r="K29" s="66">
        <v>24</v>
      </c>
      <c r="L29" s="66">
        <v>30</v>
      </c>
      <c r="M29" s="66">
        <v>18</v>
      </c>
      <c r="N29" s="66">
        <v>11</v>
      </c>
      <c r="O29" s="58">
        <v>83</v>
      </c>
      <c r="P29" s="58">
        <f t="shared" si="2"/>
        <v>24.9</v>
      </c>
      <c r="Q29" s="67">
        <v>83.8</v>
      </c>
      <c r="R29" s="68">
        <f t="shared" si="3"/>
        <v>16.760000000000002</v>
      </c>
      <c r="S29" s="59">
        <v>17</v>
      </c>
      <c r="T29" s="59">
        <v>17</v>
      </c>
      <c r="U29" s="59">
        <v>19</v>
      </c>
      <c r="V29" s="59">
        <v>17</v>
      </c>
      <c r="W29" s="68">
        <f t="shared" si="4"/>
        <v>86.76</v>
      </c>
      <c r="X29" s="59" t="s">
        <v>55</v>
      </c>
      <c r="Y29" s="59"/>
      <c r="Z29" s="59"/>
      <c r="AA29" s="59"/>
      <c r="AB29" s="59"/>
      <c r="AC29" s="59"/>
      <c r="AD29" s="59"/>
      <c r="AE29" s="59">
        <v>1</v>
      </c>
      <c r="AF29" s="59">
        <v>9</v>
      </c>
    </row>
    <row r="30" spans="1:32" x14ac:dyDescent="0.25">
      <c r="A30" s="59">
        <v>27</v>
      </c>
      <c r="B30" s="63" t="s">
        <v>36</v>
      </c>
      <c r="C30" s="58">
        <v>82</v>
      </c>
      <c r="D30" s="58">
        <f t="shared" si="0"/>
        <v>32.800000000000004</v>
      </c>
      <c r="E30" s="64">
        <v>15</v>
      </c>
      <c r="F30" s="64">
        <v>11</v>
      </c>
      <c r="G30" s="64">
        <v>17</v>
      </c>
      <c r="H30" s="64">
        <v>10</v>
      </c>
      <c r="I30" s="65">
        <v>53</v>
      </c>
      <c r="J30" s="58">
        <f t="shared" si="1"/>
        <v>15.899999999999999</v>
      </c>
      <c r="K30" s="66">
        <v>22.5</v>
      </c>
      <c r="L30" s="66">
        <v>30</v>
      </c>
      <c r="M30" s="66">
        <v>19</v>
      </c>
      <c r="N30" s="66">
        <v>11</v>
      </c>
      <c r="O30" s="58">
        <v>82.5</v>
      </c>
      <c r="P30" s="58">
        <f t="shared" si="2"/>
        <v>24.75</v>
      </c>
      <c r="Q30" s="67">
        <v>73.45</v>
      </c>
      <c r="R30" s="68">
        <f t="shared" si="3"/>
        <v>14.690000000000001</v>
      </c>
      <c r="S30" s="59">
        <v>17</v>
      </c>
      <c r="T30" s="59">
        <v>17</v>
      </c>
      <c r="U30" s="59">
        <v>19</v>
      </c>
      <c r="V30" s="59">
        <v>17</v>
      </c>
      <c r="W30" s="68">
        <f t="shared" si="4"/>
        <v>84.69</v>
      </c>
      <c r="X30" s="59" t="s">
        <v>56</v>
      </c>
      <c r="Y30" s="59"/>
      <c r="Z30" s="59"/>
      <c r="AA30" s="59"/>
      <c r="AB30" s="59"/>
      <c r="AC30" s="59"/>
      <c r="AD30" s="59"/>
      <c r="AE30" s="59">
        <v>1</v>
      </c>
      <c r="AF30" s="59">
        <v>20</v>
      </c>
    </row>
    <row r="31" spans="1:32" x14ac:dyDescent="0.25">
      <c r="A31" s="59">
        <v>28</v>
      </c>
      <c r="B31" s="63" t="s">
        <v>37</v>
      </c>
      <c r="C31" s="58">
        <v>79</v>
      </c>
      <c r="D31" s="58">
        <f t="shared" si="0"/>
        <v>31.6</v>
      </c>
      <c r="E31" s="64">
        <v>15</v>
      </c>
      <c r="F31" s="64">
        <v>28</v>
      </c>
      <c r="G31" s="64">
        <v>16</v>
      </c>
      <c r="H31" s="64">
        <v>18</v>
      </c>
      <c r="I31" s="65">
        <v>77</v>
      </c>
      <c r="J31" s="58">
        <f t="shared" si="1"/>
        <v>23.099999999999998</v>
      </c>
      <c r="K31" s="66">
        <v>15</v>
      </c>
      <c r="L31" s="66">
        <v>16.5</v>
      </c>
      <c r="M31" s="66">
        <v>18</v>
      </c>
      <c r="N31" s="66">
        <v>6</v>
      </c>
      <c r="O31" s="58">
        <v>55.5</v>
      </c>
      <c r="P31" s="58">
        <f t="shared" si="2"/>
        <v>16.649999999999999</v>
      </c>
      <c r="Q31" s="67">
        <v>71.349999999999994</v>
      </c>
      <c r="R31" s="68">
        <f t="shared" si="3"/>
        <v>14.27</v>
      </c>
      <c r="S31" s="59">
        <v>17</v>
      </c>
      <c r="T31" s="59">
        <v>17</v>
      </c>
      <c r="U31" s="59">
        <v>19</v>
      </c>
      <c r="V31" s="59">
        <v>17</v>
      </c>
      <c r="W31" s="68">
        <f t="shared" si="4"/>
        <v>84.27</v>
      </c>
      <c r="X31" s="59" t="s">
        <v>56</v>
      </c>
      <c r="Y31" s="59"/>
      <c r="Z31" s="59"/>
      <c r="AA31" s="59"/>
      <c r="AB31" s="59"/>
      <c r="AC31" s="59"/>
      <c r="AD31" s="59"/>
      <c r="AE31" s="59">
        <v>1</v>
      </c>
      <c r="AF31" s="59">
        <v>10</v>
      </c>
    </row>
    <row r="32" spans="1:32" x14ac:dyDescent="0.25">
      <c r="A32" s="59">
        <v>29</v>
      </c>
      <c r="B32" s="63" t="s">
        <v>38</v>
      </c>
      <c r="C32" s="58">
        <v>77</v>
      </c>
      <c r="D32" s="58">
        <f t="shared" si="0"/>
        <v>30.8</v>
      </c>
      <c r="E32" s="64">
        <v>14</v>
      </c>
      <c r="F32" s="64">
        <v>4</v>
      </c>
      <c r="G32" s="64">
        <v>17</v>
      </c>
      <c r="H32" s="64">
        <v>15</v>
      </c>
      <c r="I32" s="65">
        <v>50</v>
      </c>
      <c r="J32" s="58">
        <f t="shared" si="1"/>
        <v>15</v>
      </c>
      <c r="K32" s="66">
        <v>12</v>
      </c>
      <c r="L32" s="66">
        <v>13.5</v>
      </c>
      <c r="M32" s="66">
        <v>18</v>
      </c>
      <c r="N32" s="66">
        <v>9</v>
      </c>
      <c r="O32" s="58">
        <v>52.5</v>
      </c>
      <c r="P32" s="58">
        <f t="shared" si="2"/>
        <v>15.75</v>
      </c>
      <c r="Q32" s="67">
        <v>61.55</v>
      </c>
      <c r="R32" s="68">
        <f t="shared" si="3"/>
        <v>12.31</v>
      </c>
      <c r="S32" s="59">
        <v>17</v>
      </c>
      <c r="T32" s="59">
        <v>17</v>
      </c>
      <c r="U32" s="59">
        <v>19</v>
      </c>
      <c r="V32" s="59">
        <v>17</v>
      </c>
      <c r="W32" s="68">
        <f t="shared" si="4"/>
        <v>82.31</v>
      </c>
      <c r="X32" s="59" t="s">
        <v>56</v>
      </c>
      <c r="Y32" s="59"/>
      <c r="Z32" s="59"/>
      <c r="AA32" s="59"/>
      <c r="AB32" s="59">
        <v>4</v>
      </c>
      <c r="AC32" s="59">
        <v>1</v>
      </c>
      <c r="AD32" s="59">
        <v>0.03</v>
      </c>
      <c r="AE32" s="59"/>
      <c r="AF32" s="59">
        <v>35</v>
      </c>
    </row>
    <row r="33" spans="1:32" x14ac:dyDescent="0.25">
      <c r="A33" s="59">
        <v>30</v>
      </c>
      <c r="B33" s="63" t="s">
        <v>39</v>
      </c>
      <c r="C33" s="58">
        <v>77</v>
      </c>
      <c r="D33" s="58">
        <f t="shared" si="0"/>
        <v>30.8</v>
      </c>
      <c r="E33" s="64">
        <v>10</v>
      </c>
      <c r="F33" s="64">
        <v>16</v>
      </c>
      <c r="G33" s="64">
        <v>17</v>
      </c>
      <c r="H33" s="64">
        <v>12</v>
      </c>
      <c r="I33" s="65">
        <v>55</v>
      </c>
      <c r="J33" s="58">
        <f t="shared" si="1"/>
        <v>16.5</v>
      </c>
      <c r="K33" s="66">
        <v>15</v>
      </c>
      <c r="L33" s="66">
        <v>15</v>
      </c>
      <c r="M33" s="66">
        <v>17</v>
      </c>
      <c r="N33" s="66">
        <v>7</v>
      </c>
      <c r="O33" s="58">
        <v>54</v>
      </c>
      <c r="P33" s="58">
        <f t="shared" si="2"/>
        <v>16.2</v>
      </c>
      <c r="Q33" s="67">
        <v>63.5</v>
      </c>
      <c r="R33" s="68">
        <f t="shared" si="3"/>
        <v>12.700000000000001</v>
      </c>
      <c r="S33" s="59">
        <v>18</v>
      </c>
      <c r="T33" s="59">
        <v>17</v>
      </c>
      <c r="U33" s="59">
        <v>19</v>
      </c>
      <c r="V33" s="59">
        <v>17</v>
      </c>
      <c r="W33" s="68">
        <f t="shared" si="4"/>
        <v>83.7</v>
      </c>
      <c r="X33" s="59" t="s">
        <v>56</v>
      </c>
      <c r="Y33" s="59"/>
      <c r="Z33" s="59"/>
      <c r="AA33" s="59"/>
      <c r="AB33" s="59">
        <v>6</v>
      </c>
      <c r="AC33" s="59">
        <v>1</v>
      </c>
      <c r="AD33" s="59">
        <v>0.03</v>
      </c>
      <c r="AE33" s="59"/>
      <c r="AF33" s="59">
        <v>34</v>
      </c>
    </row>
    <row r="34" spans="1:32" x14ac:dyDescent="0.25">
      <c r="A34" s="59">
        <v>31</v>
      </c>
      <c r="B34" s="63" t="s">
        <v>40</v>
      </c>
      <c r="C34" s="58">
        <v>97</v>
      </c>
      <c r="D34" s="58">
        <f t="shared" si="0"/>
        <v>38.800000000000004</v>
      </c>
      <c r="E34" s="64">
        <v>19</v>
      </c>
      <c r="F34" s="64">
        <v>40</v>
      </c>
      <c r="G34" s="64">
        <v>18</v>
      </c>
      <c r="H34" s="64">
        <v>20</v>
      </c>
      <c r="I34" s="65">
        <v>97</v>
      </c>
      <c r="J34" s="58">
        <f t="shared" si="1"/>
        <v>29.099999999999998</v>
      </c>
      <c r="K34" s="66">
        <v>30</v>
      </c>
      <c r="L34" s="66">
        <v>30</v>
      </c>
      <c r="M34" s="66">
        <v>18</v>
      </c>
      <c r="N34" s="66">
        <v>20</v>
      </c>
      <c r="O34" s="58">
        <v>98</v>
      </c>
      <c r="P34" s="58">
        <f t="shared" si="2"/>
        <v>29.4</v>
      </c>
      <c r="Q34" s="67">
        <v>97.3</v>
      </c>
      <c r="R34" s="68">
        <f t="shared" si="3"/>
        <v>19.46</v>
      </c>
      <c r="S34" s="59">
        <v>19</v>
      </c>
      <c r="T34" s="59">
        <v>20</v>
      </c>
      <c r="U34" s="59">
        <v>21</v>
      </c>
      <c r="V34" s="59">
        <v>19</v>
      </c>
      <c r="W34" s="68">
        <f t="shared" si="4"/>
        <v>98.460000000000008</v>
      </c>
      <c r="X34" s="59" t="s">
        <v>54</v>
      </c>
      <c r="Y34" s="59"/>
      <c r="Z34" s="59"/>
      <c r="AA34" s="59"/>
      <c r="AB34" s="59"/>
      <c r="AC34" s="59"/>
      <c r="AD34" s="59"/>
      <c r="AE34" s="59">
        <v>1</v>
      </c>
      <c r="AF34" s="59">
        <v>1</v>
      </c>
    </row>
    <row r="35" spans="1:32" x14ac:dyDescent="0.25">
      <c r="A35" s="59">
        <v>32</v>
      </c>
      <c r="B35" s="63" t="s">
        <v>41</v>
      </c>
      <c r="C35" s="58">
        <v>95</v>
      </c>
      <c r="D35" s="58">
        <f t="shared" si="0"/>
        <v>38</v>
      </c>
      <c r="E35" s="64">
        <v>16</v>
      </c>
      <c r="F35" s="64">
        <v>30</v>
      </c>
      <c r="G35" s="64">
        <v>18</v>
      </c>
      <c r="H35" s="64">
        <v>19</v>
      </c>
      <c r="I35" s="65">
        <v>83</v>
      </c>
      <c r="J35" s="58">
        <f t="shared" si="1"/>
        <v>24.9</v>
      </c>
      <c r="K35" s="66">
        <v>28.5</v>
      </c>
      <c r="L35" s="66">
        <v>30</v>
      </c>
      <c r="M35" s="66">
        <v>18</v>
      </c>
      <c r="N35" s="66">
        <v>20</v>
      </c>
      <c r="O35" s="58">
        <v>96.5</v>
      </c>
      <c r="P35" s="58">
        <f t="shared" si="2"/>
        <v>28.95</v>
      </c>
      <c r="Q35" s="67">
        <v>91.85</v>
      </c>
      <c r="R35" s="68">
        <f t="shared" si="3"/>
        <v>18.37</v>
      </c>
      <c r="S35" s="59">
        <v>19</v>
      </c>
      <c r="T35" s="59">
        <v>20</v>
      </c>
      <c r="U35" s="59">
        <v>21</v>
      </c>
      <c r="V35" s="59">
        <v>19</v>
      </c>
      <c r="W35" s="68">
        <f t="shared" si="4"/>
        <v>97.37</v>
      </c>
      <c r="X35" s="59" t="s">
        <v>54</v>
      </c>
      <c r="Y35" s="59"/>
      <c r="Z35" s="59"/>
      <c r="AA35" s="59"/>
      <c r="AB35" s="59">
        <v>5</v>
      </c>
      <c r="AC35" s="59">
        <v>2</v>
      </c>
      <c r="AD35" s="59">
        <v>0.06</v>
      </c>
      <c r="AE35" s="59"/>
      <c r="AF35" s="59">
        <v>5</v>
      </c>
    </row>
    <row r="36" spans="1:32" x14ac:dyDescent="0.25">
      <c r="A36" s="59">
        <v>33</v>
      </c>
      <c r="B36" s="63" t="s">
        <v>42</v>
      </c>
      <c r="C36" s="58">
        <v>81</v>
      </c>
      <c r="D36" s="58">
        <f t="shared" si="0"/>
        <v>32.4</v>
      </c>
      <c r="E36" s="64">
        <v>16</v>
      </c>
      <c r="F36" s="64">
        <v>28</v>
      </c>
      <c r="G36" s="64">
        <v>18</v>
      </c>
      <c r="H36" s="64">
        <v>20</v>
      </c>
      <c r="I36" s="65">
        <v>82</v>
      </c>
      <c r="J36" s="58">
        <f t="shared" si="1"/>
        <v>24.599999999999998</v>
      </c>
      <c r="K36" s="66">
        <v>21</v>
      </c>
      <c r="L36" s="66">
        <v>13.5</v>
      </c>
      <c r="M36" s="66">
        <v>17</v>
      </c>
      <c r="N36" s="66">
        <v>10</v>
      </c>
      <c r="O36" s="58">
        <v>61.5</v>
      </c>
      <c r="P36" s="58">
        <f t="shared" si="2"/>
        <v>18.45</v>
      </c>
      <c r="Q36" s="67">
        <v>75.45</v>
      </c>
      <c r="R36" s="68">
        <f t="shared" si="3"/>
        <v>15.090000000000002</v>
      </c>
      <c r="S36" s="59">
        <v>17</v>
      </c>
      <c r="T36" s="59">
        <v>16</v>
      </c>
      <c r="U36" s="59">
        <v>19</v>
      </c>
      <c r="V36" s="59">
        <v>17</v>
      </c>
      <c r="W36" s="68">
        <f t="shared" si="4"/>
        <v>84.09</v>
      </c>
      <c r="X36" s="59" t="s">
        <v>56</v>
      </c>
      <c r="Y36" s="59"/>
      <c r="Z36" s="59"/>
      <c r="AA36" s="59"/>
      <c r="AB36" s="59">
        <v>1</v>
      </c>
      <c r="AC36" s="59">
        <v>6</v>
      </c>
      <c r="AD36" s="59">
        <v>0.18</v>
      </c>
      <c r="AE36" s="59"/>
      <c r="AF36" s="59">
        <v>22</v>
      </c>
    </row>
    <row r="37" spans="1:32" x14ac:dyDescent="0.25">
      <c r="A37" s="59">
        <v>34</v>
      </c>
      <c r="B37" s="63" t="s">
        <v>43</v>
      </c>
      <c r="C37" s="58">
        <v>75</v>
      </c>
      <c r="D37" s="58">
        <f t="shared" si="0"/>
        <v>30</v>
      </c>
      <c r="E37" s="64">
        <v>15</v>
      </c>
      <c r="F37" s="64">
        <v>30</v>
      </c>
      <c r="G37" s="64">
        <v>16</v>
      </c>
      <c r="H37" s="64">
        <v>18</v>
      </c>
      <c r="I37" s="65">
        <v>79</v>
      </c>
      <c r="J37" s="58">
        <f t="shared" si="1"/>
        <v>23.7</v>
      </c>
      <c r="K37" s="66">
        <v>21</v>
      </c>
      <c r="L37" s="66">
        <v>13.5</v>
      </c>
      <c r="M37" s="66">
        <v>18</v>
      </c>
      <c r="N37" s="66">
        <v>5</v>
      </c>
      <c r="O37" s="58">
        <v>57.5</v>
      </c>
      <c r="P37" s="58">
        <f t="shared" si="2"/>
        <v>17.25</v>
      </c>
      <c r="Q37" s="67">
        <v>70.95</v>
      </c>
      <c r="R37" s="68">
        <f t="shared" si="3"/>
        <v>14.190000000000001</v>
      </c>
      <c r="S37" s="59">
        <v>17</v>
      </c>
      <c r="T37" s="59">
        <v>17</v>
      </c>
      <c r="U37" s="59">
        <v>19</v>
      </c>
      <c r="V37" s="59">
        <v>17</v>
      </c>
      <c r="W37" s="68">
        <f t="shared" si="4"/>
        <v>84.19</v>
      </c>
      <c r="X37" s="59" t="s">
        <v>56</v>
      </c>
      <c r="Y37" s="59"/>
      <c r="Z37" s="59"/>
      <c r="AA37" s="59"/>
      <c r="AB37" s="59">
        <v>6</v>
      </c>
      <c r="AC37" s="59"/>
      <c r="AD37" s="59"/>
      <c r="AE37" s="59"/>
      <c r="AF37" s="59">
        <v>24</v>
      </c>
    </row>
    <row r="38" spans="1:32" x14ac:dyDescent="0.25">
      <c r="A38" s="59">
        <v>35</v>
      </c>
      <c r="B38" s="63" t="s">
        <v>44</v>
      </c>
      <c r="C38" s="58">
        <v>85</v>
      </c>
      <c r="D38" s="58">
        <f t="shared" si="0"/>
        <v>34</v>
      </c>
      <c r="E38" s="64">
        <v>16</v>
      </c>
      <c r="F38" s="64">
        <v>26</v>
      </c>
      <c r="G38" s="64">
        <v>17</v>
      </c>
      <c r="H38" s="64">
        <v>18</v>
      </c>
      <c r="I38" s="65">
        <v>77</v>
      </c>
      <c r="J38" s="58">
        <f t="shared" si="1"/>
        <v>23.099999999999998</v>
      </c>
      <c r="K38" s="66">
        <v>28.5</v>
      </c>
      <c r="L38" s="66">
        <v>30</v>
      </c>
      <c r="M38" s="66">
        <v>18</v>
      </c>
      <c r="N38" s="66">
        <v>6</v>
      </c>
      <c r="O38" s="58">
        <v>82.5</v>
      </c>
      <c r="P38" s="58">
        <f t="shared" si="2"/>
        <v>24.75</v>
      </c>
      <c r="Q38" s="67">
        <v>81.849999999999994</v>
      </c>
      <c r="R38" s="68">
        <f t="shared" si="3"/>
        <v>16.37</v>
      </c>
      <c r="S38" s="59">
        <v>18</v>
      </c>
      <c r="T38" s="59">
        <v>18</v>
      </c>
      <c r="U38" s="59">
        <v>19</v>
      </c>
      <c r="V38" s="59">
        <v>17</v>
      </c>
      <c r="W38" s="68">
        <f t="shared" si="4"/>
        <v>88.37</v>
      </c>
      <c r="X38" s="59" t="s">
        <v>55</v>
      </c>
      <c r="Y38" s="59"/>
      <c r="Z38" s="59"/>
      <c r="AA38" s="59"/>
      <c r="AB38" s="59"/>
      <c r="AC38" s="59"/>
      <c r="AD38" s="59"/>
      <c r="AE38" s="59">
        <v>1</v>
      </c>
      <c r="AF38" s="59">
        <v>10</v>
      </c>
    </row>
    <row r="39" spans="1:32" ht="15" x14ac:dyDescent="0.25">
      <c r="A39" s="59">
        <v>36</v>
      </c>
      <c r="B39" s="69" t="s">
        <v>84</v>
      </c>
      <c r="C39" s="58">
        <v>76</v>
      </c>
      <c r="D39" s="58">
        <f t="shared" si="0"/>
        <v>30.400000000000002</v>
      </c>
      <c r="E39" s="64">
        <v>14</v>
      </c>
      <c r="F39" s="64">
        <v>2</v>
      </c>
      <c r="G39" s="64">
        <v>17</v>
      </c>
      <c r="H39" s="64">
        <v>17</v>
      </c>
      <c r="I39" s="65">
        <v>50</v>
      </c>
      <c r="J39" s="58">
        <f t="shared" si="1"/>
        <v>15</v>
      </c>
      <c r="K39" s="66">
        <v>28.5</v>
      </c>
      <c r="L39" s="66">
        <v>30</v>
      </c>
      <c r="M39" s="66">
        <v>18</v>
      </c>
      <c r="N39" s="66">
        <v>7</v>
      </c>
      <c r="O39" s="58">
        <v>83.5</v>
      </c>
      <c r="P39" s="58">
        <f t="shared" si="2"/>
        <v>25.05</v>
      </c>
      <c r="Q39" s="67">
        <v>70.45</v>
      </c>
      <c r="R39" s="68">
        <f t="shared" si="3"/>
        <v>14.090000000000002</v>
      </c>
      <c r="S39" s="59">
        <v>17</v>
      </c>
      <c r="T39" s="59">
        <v>16</v>
      </c>
      <c r="U39" s="59">
        <v>19</v>
      </c>
      <c r="V39" s="59">
        <v>17</v>
      </c>
      <c r="W39" s="68">
        <f t="shared" si="4"/>
        <v>83.09</v>
      </c>
      <c r="X39" s="59" t="s">
        <v>56</v>
      </c>
      <c r="Y39" s="59"/>
      <c r="Z39" s="59"/>
      <c r="AA39" s="59"/>
      <c r="AB39" s="59">
        <v>2</v>
      </c>
      <c r="AC39" s="59"/>
      <c r="AD39" s="59"/>
      <c r="AE39" s="59"/>
      <c r="AF39" s="59">
        <v>29</v>
      </c>
    </row>
    <row r="40" spans="1:32" x14ac:dyDescent="0.25">
      <c r="K40" s="70"/>
      <c r="L40" s="70"/>
      <c r="M40" s="70"/>
      <c r="N40" s="70"/>
    </row>
  </sheetData>
  <mergeCells count="13">
    <mergeCell ref="R2:W2"/>
    <mergeCell ref="Y2:Z2"/>
    <mergeCell ref="AA2:AB2"/>
    <mergeCell ref="AC2:AD2"/>
    <mergeCell ref="E2:J2"/>
    <mergeCell ref="C2:D2"/>
    <mergeCell ref="A1:Q1"/>
    <mergeCell ref="A2:A3"/>
    <mergeCell ref="B2:B3"/>
    <mergeCell ref="Q2:Q3"/>
    <mergeCell ref="K2:L2"/>
    <mergeCell ref="M2:N2"/>
    <mergeCell ref="O2:P2"/>
  </mergeCells>
  <phoneticPr fontId="2" type="noConversion"/>
  <pageMargins left="0.44" right="0.55000000000000004" top="0.74803149606299213" bottom="0.74803149606299213" header="0.56999999999999995" footer="0.31496062992125984"/>
  <pageSetup paperSize="9" scale="90" orientation="landscape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E41"/>
  <sheetViews>
    <sheetView topLeftCell="A19" workbookViewId="0">
      <selection activeCell="X5" sqref="X5:X40"/>
    </sheetView>
  </sheetViews>
  <sheetFormatPr defaultRowHeight="14" x14ac:dyDescent="0.25"/>
  <cols>
    <col min="1" max="1" width="4.08984375" customWidth="1"/>
    <col min="2" max="2" width="6.6328125" customWidth="1"/>
    <col min="3" max="3" width="4.6328125" customWidth="1"/>
    <col min="4" max="4" width="4.6328125" style="16" customWidth="1"/>
    <col min="5" max="9" width="4.6328125" customWidth="1"/>
    <col min="10" max="10" width="4.6328125" style="18" customWidth="1"/>
    <col min="11" max="24" width="4.6328125" customWidth="1"/>
    <col min="25" max="25" width="4.36328125" customWidth="1"/>
    <col min="26" max="28" width="4.6328125" customWidth="1"/>
    <col min="29" max="29" width="7.7265625" customWidth="1"/>
    <col min="30" max="37" width="4.6328125" customWidth="1"/>
  </cols>
  <sheetData>
    <row r="1" spans="1:31" ht="21" x14ac:dyDescent="0.25">
      <c r="A1" s="29" t="s">
        <v>73</v>
      </c>
      <c r="B1" s="29"/>
      <c r="C1" s="29"/>
      <c r="D1" s="29"/>
      <c r="E1" s="29"/>
      <c r="F1" s="29"/>
      <c r="G1" s="29"/>
      <c r="H1" s="29"/>
      <c r="I1" s="29"/>
      <c r="J1" s="29"/>
      <c r="K1" s="29"/>
      <c r="L1" s="29"/>
      <c r="M1" s="29"/>
      <c r="N1" s="29"/>
      <c r="O1" s="29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A1" s="29"/>
      <c r="AB1" s="29"/>
      <c r="AC1" s="29"/>
      <c r="AD1" s="29"/>
      <c r="AE1" s="29"/>
    </row>
    <row r="2" spans="1:31" ht="21" x14ac:dyDescent="0.25">
      <c r="A2" s="35" t="s">
        <v>72</v>
      </c>
      <c r="B2" s="36"/>
      <c r="C2" s="36"/>
      <c r="D2" s="36"/>
      <c r="E2" s="36"/>
      <c r="F2" s="36"/>
      <c r="G2" s="36"/>
      <c r="H2" s="36"/>
      <c r="I2" s="36"/>
      <c r="J2" s="36"/>
      <c r="K2" s="36"/>
      <c r="L2" s="36"/>
      <c r="M2" s="36"/>
      <c r="N2" s="36"/>
      <c r="O2" s="36"/>
      <c r="P2" s="36"/>
      <c r="Q2" s="36"/>
      <c r="R2" s="36"/>
      <c r="S2" s="36"/>
      <c r="T2" s="36"/>
      <c r="U2" s="36"/>
      <c r="V2" s="36"/>
      <c r="W2" s="36"/>
      <c r="X2" s="36"/>
      <c r="Y2" s="36"/>
      <c r="Z2" s="36"/>
      <c r="AA2" s="36"/>
      <c r="AB2" s="36"/>
      <c r="AC2" s="36"/>
    </row>
    <row r="3" spans="1:31" ht="13.5" customHeight="1" x14ac:dyDescent="0.25">
      <c r="A3" s="27" t="s">
        <v>1</v>
      </c>
      <c r="B3" s="28" t="s">
        <v>2</v>
      </c>
      <c r="C3" s="37" t="s">
        <v>46</v>
      </c>
      <c r="D3" s="38"/>
      <c r="E3" s="30" t="s">
        <v>70</v>
      </c>
      <c r="F3" s="31"/>
      <c r="G3" s="31"/>
      <c r="H3" s="31"/>
      <c r="I3" s="31"/>
      <c r="J3" s="31"/>
      <c r="K3" s="39" t="s">
        <v>3</v>
      </c>
      <c r="L3" s="40"/>
      <c r="M3" s="40"/>
      <c r="N3" s="40"/>
      <c r="O3" s="40"/>
      <c r="P3" s="40"/>
      <c r="Q3" s="41" t="s">
        <v>4</v>
      </c>
      <c r="R3" s="30" t="s">
        <v>68</v>
      </c>
      <c r="S3" s="31"/>
      <c r="T3" s="31"/>
      <c r="U3" s="31"/>
      <c r="V3" s="31"/>
      <c r="W3" s="31"/>
      <c r="X3" s="32"/>
      <c r="Y3" s="33" t="s">
        <v>69</v>
      </c>
      <c r="Z3" s="34"/>
      <c r="AA3" s="34"/>
      <c r="AB3" s="34"/>
      <c r="AC3" s="21" t="s">
        <v>71</v>
      </c>
    </row>
    <row r="4" spans="1:31" ht="28" x14ac:dyDescent="0.25">
      <c r="A4" s="28"/>
      <c r="B4" s="28"/>
      <c r="C4" s="2" t="s">
        <v>5</v>
      </c>
      <c r="D4" s="9">
        <v>0.4</v>
      </c>
      <c r="E4" s="1" t="s">
        <v>6</v>
      </c>
      <c r="F4" s="1" t="s">
        <v>7</v>
      </c>
      <c r="G4" s="1" t="s">
        <v>9</v>
      </c>
      <c r="H4" s="1" t="s">
        <v>8</v>
      </c>
      <c r="I4" s="2" t="s">
        <v>47</v>
      </c>
      <c r="J4" s="9">
        <v>0.3</v>
      </c>
      <c r="K4" s="1" t="s">
        <v>6</v>
      </c>
      <c r="L4" s="1" t="s">
        <v>7</v>
      </c>
      <c r="M4" s="1" t="s">
        <v>9</v>
      </c>
      <c r="N4" s="1" t="s">
        <v>8</v>
      </c>
      <c r="O4" s="2" t="s">
        <v>5</v>
      </c>
      <c r="P4" s="9">
        <v>0.3</v>
      </c>
      <c r="Q4" s="42"/>
      <c r="R4" s="3" t="s">
        <v>59</v>
      </c>
      <c r="S4" s="3" t="s">
        <v>48</v>
      </c>
      <c r="T4" s="3" t="s">
        <v>49</v>
      </c>
      <c r="U4" s="3" t="s">
        <v>50</v>
      </c>
      <c r="V4" s="3" t="s">
        <v>51</v>
      </c>
      <c r="W4" s="3" t="s">
        <v>52</v>
      </c>
      <c r="X4" s="3" t="s">
        <v>67</v>
      </c>
      <c r="Y4" s="13" t="s">
        <v>63</v>
      </c>
      <c r="Z4" s="13" t="s">
        <v>64</v>
      </c>
      <c r="AA4" s="14" t="s">
        <v>65</v>
      </c>
      <c r="AB4" s="19" t="s">
        <v>66</v>
      </c>
      <c r="AC4" s="21"/>
      <c r="AD4" s="26" t="s">
        <v>79</v>
      </c>
    </row>
    <row r="5" spans="1:31" x14ac:dyDescent="0.25">
      <c r="A5" s="3">
        <v>1</v>
      </c>
      <c r="B5" s="4" t="s">
        <v>10</v>
      </c>
      <c r="C5" s="8">
        <v>86</v>
      </c>
      <c r="D5" s="17">
        <v>34</v>
      </c>
      <c r="E5" s="5">
        <v>19</v>
      </c>
      <c r="F5" s="5">
        <v>34</v>
      </c>
      <c r="G5" s="5">
        <v>16</v>
      </c>
      <c r="H5" s="5">
        <v>20</v>
      </c>
      <c r="I5" s="6">
        <v>89</v>
      </c>
      <c r="J5" s="17">
        <v>27</v>
      </c>
      <c r="K5" s="11">
        <v>21</v>
      </c>
      <c r="L5" s="11">
        <v>30</v>
      </c>
      <c r="M5" s="11">
        <v>17</v>
      </c>
      <c r="N5" s="11">
        <v>17</v>
      </c>
      <c r="O5" s="8">
        <v>85</v>
      </c>
      <c r="P5" s="8">
        <v>26</v>
      </c>
      <c r="Q5" s="15">
        <v>87</v>
      </c>
      <c r="R5" s="10">
        <f>Q5*0.2</f>
        <v>17.400000000000002</v>
      </c>
      <c r="S5" s="3">
        <v>18</v>
      </c>
      <c r="T5" s="3">
        <v>17</v>
      </c>
      <c r="U5" s="3">
        <v>20</v>
      </c>
      <c r="V5" s="3">
        <v>17</v>
      </c>
      <c r="W5" s="10">
        <f>R5+S5+T5+U5+V5</f>
        <v>89.4</v>
      </c>
      <c r="X5" s="3" t="s">
        <v>55</v>
      </c>
      <c r="Y5" s="3"/>
      <c r="Z5" s="3"/>
      <c r="AA5" s="3"/>
      <c r="AB5" s="20">
        <v>1</v>
      </c>
      <c r="AC5" s="22">
        <f>Q5-AA5+AB5</f>
        <v>88</v>
      </c>
      <c r="AD5" s="3">
        <v>7</v>
      </c>
    </row>
    <row r="6" spans="1:31" x14ac:dyDescent="0.25">
      <c r="A6" s="3">
        <v>2</v>
      </c>
      <c r="B6" s="4" t="s">
        <v>11</v>
      </c>
      <c r="C6" s="8">
        <v>85</v>
      </c>
      <c r="D6" s="17">
        <v>34</v>
      </c>
      <c r="E6" s="5">
        <v>18</v>
      </c>
      <c r="F6" s="5">
        <v>38</v>
      </c>
      <c r="G6" s="5">
        <v>17</v>
      </c>
      <c r="H6" s="5">
        <v>17</v>
      </c>
      <c r="I6" s="6">
        <v>90</v>
      </c>
      <c r="J6" s="17">
        <v>27</v>
      </c>
      <c r="K6" s="11">
        <v>27</v>
      </c>
      <c r="L6" s="11">
        <v>30</v>
      </c>
      <c r="M6" s="11">
        <v>18</v>
      </c>
      <c r="N6" s="11">
        <v>17</v>
      </c>
      <c r="O6" s="8">
        <v>92</v>
      </c>
      <c r="P6" s="8">
        <v>28</v>
      </c>
      <c r="Q6" s="15">
        <v>89</v>
      </c>
      <c r="R6" s="10">
        <f t="shared" ref="R6:R40" si="0">Q6*0.2</f>
        <v>17.8</v>
      </c>
      <c r="S6" s="3">
        <v>17</v>
      </c>
      <c r="T6" s="3">
        <v>16</v>
      </c>
      <c r="U6" s="3">
        <v>19</v>
      </c>
      <c r="V6" s="3">
        <v>17</v>
      </c>
      <c r="W6" s="10">
        <f t="shared" ref="W6:W40" si="1">R6+S6+T6+U6+V6</f>
        <v>86.8</v>
      </c>
      <c r="X6" s="3" t="s">
        <v>55</v>
      </c>
      <c r="Y6" s="3"/>
      <c r="Z6" s="3"/>
      <c r="AA6" s="3"/>
      <c r="AB6" s="20">
        <v>1</v>
      </c>
      <c r="AC6" s="22">
        <f t="shared" ref="AC6:AC39" si="2">Q6-AA6+AB6</f>
        <v>90</v>
      </c>
      <c r="AD6" s="3">
        <v>6</v>
      </c>
    </row>
    <row r="7" spans="1:31" x14ac:dyDescent="0.25">
      <c r="A7" s="3">
        <v>3</v>
      </c>
      <c r="B7" s="4" t="s">
        <v>12</v>
      </c>
      <c r="C7" s="8">
        <v>86</v>
      </c>
      <c r="D7" s="17">
        <v>34</v>
      </c>
      <c r="E7" s="5">
        <v>12</v>
      </c>
      <c r="F7" s="5">
        <v>33</v>
      </c>
      <c r="G7" s="5">
        <v>15</v>
      </c>
      <c r="H7" s="5">
        <v>18</v>
      </c>
      <c r="I7" s="6">
        <v>78</v>
      </c>
      <c r="J7" s="17">
        <v>23</v>
      </c>
      <c r="K7" s="11">
        <v>22.5</v>
      </c>
      <c r="L7" s="11">
        <v>16.5</v>
      </c>
      <c r="M7" s="11">
        <v>17</v>
      </c>
      <c r="N7" s="11">
        <v>6</v>
      </c>
      <c r="O7" s="8">
        <v>62</v>
      </c>
      <c r="P7" s="8">
        <v>19</v>
      </c>
      <c r="Q7" s="15">
        <v>76</v>
      </c>
      <c r="R7" s="10">
        <f t="shared" si="0"/>
        <v>15.200000000000001</v>
      </c>
      <c r="S7" s="3">
        <v>18</v>
      </c>
      <c r="T7" s="3">
        <v>17</v>
      </c>
      <c r="U7" s="3">
        <v>19</v>
      </c>
      <c r="V7" s="3">
        <v>17</v>
      </c>
      <c r="W7" s="10">
        <f t="shared" si="1"/>
        <v>86.2</v>
      </c>
      <c r="X7" s="3" t="s">
        <v>55</v>
      </c>
      <c r="Y7" s="3"/>
      <c r="Z7" s="3"/>
      <c r="AA7" s="3"/>
      <c r="AB7" s="20">
        <v>1</v>
      </c>
      <c r="AC7" s="22">
        <f t="shared" si="2"/>
        <v>77</v>
      </c>
      <c r="AD7" s="3">
        <v>16</v>
      </c>
    </row>
    <row r="8" spans="1:31" x14ac:dyDescent="0.25">
      <c r="A8" s="3">
        <v>4</v>
      </c>
      <c r="B8" s="4" t="s">
        <v>13</v>
      </c>
      <c r="C8" s="8">
        <v>66</v>
      </c>
      <c r="D8" s="17">
        <v>26</v>
      </c>
      <c r="E8" s="5">
        <v>13</v>
      </c>
      <c r="F8" s="5">
        <v>17</v>
      </c>
      <c r="G8" s="5">
        <v>15</v>
      </c>
      <c r="H8" s="5">
        <v>5</v>
      </c>
      <c r="I8" s="6">
        <v>50</v>
      </c>
      <c r="J8" s="17">
        <v>15</v>
      </c>
      <c r="K8" s="11">
        <v>25.5</v>
      </c>
      <c r="L8" s="11">
        <v>10.5</v>
      </c>
      <c r="M8" s="11">
        <v>17</v>
      </c>
      <c r="N8" s="11">
        <v>7</v>
      </c>
      <c r="O8" s="8">
        <v>60</v>
      </c>
      <c r="P8" s="8">
        <v>18</v>
      </c>
      <c r="Q8" s="15">
        <v>59</v>
      </c>
      <c r="R8" s="10">
        <f t="shared" si="0"/>
        <v>11.8</v>
      </c>
      <c r="S8" s="3">
        <v>15</v>
      </c>
      <c r="T8" s="3">
        <v>15</v>
      </c>
      <c r="U8" s="3">
        <v>18</v>
      </c>
      <c r="V8" s="3">
        <v>15</v>
      </c>
      <c r="W8" s="10">
        <f t="shared" si="1"/>
        <v>74.8</v>
      </c>
      <c r="X8" s="3" t="s">
        <v>57</v>
      </c>
      <c r="Y8" s="3">
        <v>1</v>
      </c>
      <c r="Z8" s="3"/>
      <c r="AA8" s="3"/>
      <c r="AB8" s="20"/>
      <c r="AC8" s="22">
        <f t="shared" si="2"/>
        <v>59</v>
      </c>
      <c r="AD8" s="3">
        <v>36</v>
      </c>
    </row>
    <row r="9" spans="1:31" x14ac:dyDescent="0.25">
      <c r="A9" s="3">
        <v>5</v>
      </c>
      <c r="B9" s="4" t="s">
        <v>14</v>
      </c>
      <c r="C9" s="8">
        <v>74</v>
      </c>
      <c r="D9" s="17">
        <v>30</v>
      </c>
      <c r="E9" s="5">
        <v>17</v>
      </c>
      <c r="F9" s="5">
        <v>35</v>
      </c>
      <c r="G9" s="5">
        <v>16</v>
      </c>
      <c r="H9" s="5">
        <v>16</v>
      </c>
      <c r="I9" s="6">
        <v>84</v>
      </c>
      <c r="J9" s="17">
        <v>25</v>
      </c>
      <c r="K9" s="11">
        <v>22.5</v>
      </c>
      <c r="L9" s="11">
        <v>18</v>
      </c>
      <c r="M9" s="11">
        <v>18</v>
      </c>
      <c r="N9" s="11">
        <v>9</v>
      </c>
      <c r="O9" s="8">
        <v>67.5</v>
      </c>
      <c r="P9" s="8">
        <v>20</v>
      </c>
      <c r="Q9" s="15">
        <v>75</v>
      </c>
      <c r="R9" s="10">
        <f t="shared" si="0"/>
        <v>15</v>
      </c>
      <c r="S9" s="3">
        <v>17</v>
      </c>
      <c r="T9" s="3">
        <v>16</v>
      </c>
      <c r="U9" s="3">
        <v>18</v>
      </c>
      <c r="V9" s="3">
        <v>16</v>
      </c>
      <c r="W9" s="10">
        <f t="shared" si="1"/>
        <v>82</v>
      </c>
      <c r="X9" s="3" t="s">
        <v>56</v>
      </c>
      <c r="Y9" s="3"/>
      <c r="Z9" s="3"/>
      <c r="AA9" s="3"/>
      <c r="AB9" s="20">
        <v>1</v>
      </c>
      <c r="AC9" s="22">
        <f t="shared" si="2"/>
        <v>76</v>
      </c>
      <c r="AD9" s="3">
        <v>18</v>
      </c>
    </row>
    <row r="10" spans="1:31" x14ac:dyDescent="0.25">
      <c r="A10" s="3">
        <v>6</v>
      </c>
      <c r="B10" s="4" t="s">
        <v>15</v>
      </c>
      <c r="C10" s="8">
        <v>75</v>
      </c>
      <c r="D10" s="17">
        <v>30</v>
      </c>
      <c r="E10" s="5">
        <v>16</v>
      </c>
      <c r="F10" s="5">
        <v>33</v>
      </c>
      <c r="G10" s="5">
        <v>16</v>
      </c>
      <c r="H10" s="5">
        <v>17</v>
      </c>
      <c r="I10" s="6">
        <v>82</v>
      </c>
      <c r="J10" s="17">
        <v>25</v>
      </c>
      <c r="K10" s="11">
        <v>16.5</v>
      </c>
      <c r="L10" s="11">
        <v>12</v>
      </c>
      <c r="M10" s="11">
        <v>18</v>
      </c>
      <c r="N10" s="11">
        <v>7</v>
      </c>
      <c r="O10" s="8">
        <v>53.5</v>
      </c>
      <c r="P10" s="8">
        <v>16</v>
      </c>
      <c r="Q10" s="15">
        <v>71</v>
      </c>
      <c r="R10" s="10">
        <f t="shared" si="0"/>
        <v>14.200000000000001</v>
      </c>
      <c r="S10" s="3">
        <v>16</v>
      </c>
      <c r="T10" s="3">
        <v>15</v>
      </c>
      <c r="U10" s="3">
        <v>18</v>
      </c>
      <c r="V10" s="3">
        <v>16</v>
      </c>
      <c r="W10" s="10">
        <f t="shared" si="1"/>
        <v>79.2</v>
      </c>
      <c r="X10" s="3" t="s">
        <v>58</v>
      </c>
      <c r="Y10" s="3"/>
      <c r="Z10" s="3"/>
      <c r="AA10" s="3"/>
      <c r="AB10" s="20">
        <v>1</v>
      </c>
      <c r="AC10" s="22">
        <f t="shared" si="2"/>
        <v>72</v>
      </c>
      <c r="AD10" s="3">
        <v>23</v>
      </c>
    </row>
    <row r="11" spans="1:31" x14ac:dyDescent="0.25">
      <c r="A11" s="3">
        <v>7</v>
      </c>
      <c r="B11" s="4" t="s">
        <v>16</v>
      </c>
      <c r="C11" s="8">
        <v>77</v>
      </c>
      <c r="D11" s="17">
        <v>31</v>
      </c>
      <c r="E11" s="5">
        <v>14</v>
      </c>
      <c r="F11" s="5">
        <v>20</v>
      </c>
      <c r="G11" s="5">
        <v>16</v>
      </c>
      <c r="H11" s="5">
        <v>18</v>
      </c>
      <c r="I11" s="6">
        <v>68</v>
      </c>
      <c r="J11" s="17">
        <v>20</v>
      </c>
      <c r="K11" s="11">
        <v>24</v>
      </c>
      <c r="L11" s="11">
        <v>9</v>
      </c>
      <c r="M11" s="11">
        <v>17</v>
      </c>
      <c r="N11" s="11">
        <v>14</v>
      </c>
      <c r="O11" s="8">
        <v>64</v>
      </c>
      <c r="P11" s="8">
        <v>19</v>
      </c>
      <c r="Q11" s="15">
        <v>70</v>
      </c>
      <c r="R11" s="10">
        <f t="shared" si="0"/>
        <v>14</v>
      </c>
      <c r="S11" s="3">
        <v>16</v>
      </c>
      <c r="T11" s="3">
        <v>16</v>
      </c>
      <c r="U11" s="3">
        <v>18</v>
      </c>
      <c r="V11" s="3">
        <v>16</v>
      </c>
      <c r="W11" s="10">
        <f t="shared" si="1"/>
        <v>80</v>
      </c>
      <c r="X11" s="3" t="s">
        <v>56</v>
      </c>
      <c r="Y11" s="3"/>
      <c r="Z11" s="3"/>
      <c r="AA11" s="3"/>
      <c r="AB11" s="20">
        <v>1</v>
      </c>
      <c r="AC11" s="22">
        <f t="shared" si="2"/>
        <v>71</v>
      </c>
      <c r="AD11" s="3">
        <v>24</v>
      </c>
    </row>
    <row r="12" spans="1:31" x14ac:dyDescent="0.25">
      <c r="A12" s="3">
        <v>8</v>
      </c>
      <c r="B12" s="4" t="s">
        <v>17</v>
      </c>
      <c r="C12" s="8">
        <v>76</v>
      </c>
      <c r="D12" s="17">
        <v>30</v>
      </c>
      <c r="E12" s="5">
        <v>11</v>
      </c>
      <c r="F12" s="5">
        <v>17</v>
      </c>
      <c r="G12" s="5">
        <v>16</v>
      </c>
      <c r="H12" s="5">
        <v>6</v>
      </c>
      <c r="I12" s="6">
        <v>50</v>
      </c>
      <c r="J12" s="17">
        <v>15</v>
      </c>
      <c r="K12" s="11">
        <v>22.5</v>
      </c>
      <c r="L12" s="11">
        <v>18</v>
      </c>
      <c r="M12" s="11">
        <v>18</v>
      </c>
      <c r="N12" s="11">
        <v>5</v>
      </c>
      <c r="O12" s="8">
        <v>63.5</v>
      </c>
      <c r="P12" s="8">
        <v>19</v>
      </c>
      <c r="Q12" s="15">
        <v>64</v>
      </c>
      <c r="R12" s="10">
        <f t="shared" si="0"/>
        <v>12.8</v>
      </c>
      <c r="S12" s="3">
        <v>16</v>
      </c>
      <c r="T12" s="3">
        <v>16</v>
      </c>
      <c r="U12" s="3">
        <v>18</v>
      </c>
      <c r="V12" s="3">
        <v>16</v>
      </c>
      <c r="W12" s="10">
        <v>79</v>
      </c>
      <c r="X12" s="3" t="s">
        <v>80</v>
      </c>
      <c r="Y12" s="3"/>
      <c r="Z12" s="3"/>
      <c r="AA12" s="3"/>
      <c r="AB12" s="20">
        <v>1</v>
      </c>
      <c r="AC12" s="22">
        <f t="shared" si="2"/>
        <v>65</v>
      </c>
      <c r="AD12" s="3">
        <v>33</v>
      </c>
    </row>
    <row r="13" spans="1:31" x14ac:dyDescent="0.25">
      <c r="A13" s="3">
        <v>9</v>
      </c>
      <c r="B13" s="4" t="s">
        <v>18</v>
      </c>
      <c r="C13" s="8">
        <v>80</v>
      </c>
      <c r="D13" s="17">
        <v>32</v>
      </c>
      <c r="E13" s="5">
        <v>16</v>
      </c>
      <c r="F13" s="5">
        <v>30</v>
      </c>
      <c r="G13" s="5">
        <v>15</v>
      </c>
      <c r="H13" s="5">
        <v>12</v>
      </c>
      <c r="I13" s="6">
        <v>73</v>
      </c>
      <c r="J13" s="17">
        <v>22</v>
      </c>
      <c r="K13" s="11">
        <v>18</v>
      </c>
      <c r="L13" s="11">
        <v>12</v>
      </c>
      <c r="M13" s="11">
        <v>18</v>
      </c>
      <c r="N13" s="11">
        <v>6</v>
      </c>
      <c r="O13" s="8">
        <v>54</v>
      </c>
      <c r="P13" s="8">
        <v>16</v>
      </c>
      <c r="Q13" s="15">
        <v>70</v>
      </c>
      <c r="R13" s="10">
        <f t="shared" si="0"/>
        <v>14</v>
      </c>
      <c r="S13" s="3">
        <v>16</v>
      </c>
      <c r="T13" s="3">
        <v>16</v>
      </c>
      <c r="U13" s="3">
        <v>18</v>
      </c>
      <c r="V13" s="3">
        <v>16</v>
      </c>
      <c r="W13" s="10">
        <f t="shared" si="1"/>
        <v>80</v>
      </c>
      <c r="X13" s="3" t="s">
        <v>56</v>
      </c>
      <c r="Y13" s="3"/>
      <c r="Z13" s="3"/>
      <c r="AA13" s="3"/>
      <c r="AB13" s="20">
        <v>1</v>
      </c>
      <c r="AC13" s="22">
        <f t="shared" si="2"/>
        <v>71</v>
      </c>
      <c r="AD13" s="3">
        <v>24</v>
      </c>
    </row>
    <row r="14" spans="1:31" x14ac:dyDescent="0.25">
      <c r="A14" s="3">
        <v>10</v>
      </c>
      <c r="B14" s="4" t="s">
        <v>19</v>
      </c>
      <c r="C14" s="8">
        <v>74</v>
      </c>
      <c r="D14" s="17">
        <v>30</v>
      </c>
      <c r="E14" s="5">
        <v>19</v>
      </c>
      <c r="F14" s="5">
        <v>26</v>
      </c>
      <c r="G14" s="5">
        <v>16</v>
      </c>
      <c r="H14" s="5">
        <v>17</v>
      </c>
      <c r="I14" s="6">
        <v>78</v>
      </c>
      <c r="J14" s="17">
        <v>23</v>
      </c>
      <c r="K14" s="11">
        <v>16.5</v>
      </c>
      <c r="L14" s="11">
        <v>12</v>
      </c>
      <c r="M14" s="11">
        <v>15</v>
      </c>
      <c r="N14" s="11">
        <v>8</v>
      </c>
      <c r="O14" s="8">
        <v>51.5</v>
      </c>
      <c r="P14" s="8">
        <v>15</v>
      </c>
      <c r="Q14" s="15">
        <v>68</v>
      </c>
      <c r="R14" s="10">
        <f t="shared" si="0"/>
        <v>13.600000000000001</v>
      </c>
      <c r="S14" s="3">
        <v>17</v>
      </c>
      <c r="T14" s="3">
        <v>17</v>
      </c>
      <c r="U14" s="3">
        <v>19</v>
      </c>
      <c r="V14" s="3">
        <v>16</v>
      </c>
      <c r="W14" s="10">
        <f t="shared" si="1"/>
        <v>82.6</v>
      </c>
      <c r="X14" s="3" t="s">
        <v>56</v>
      </c>
      <c r="Y14" s="3"/>
      <c r="Z14" s="3"/>
      <c r="AA14" s="3"/>
      <c r="AB14" s="20">
        <v>1</v>
      </c>
      <c r="AC14" s="22">
        <f t="shared" si="2"/>
        <v>69</v>
      </c>
      <c r="AD14" s="3">
        <v>30</v>
      </c>
    </row>
    <row r="15" spans="1:31" x14ac:dyDescent="0.25">
      <c r="A15" s="3">
        <v>11</v>
      </c>
      <c r="B15" s="4" t="s">
        <v>20</v>
      </c>
      <c r="C15" s="8">
        <v>96</v>
      </c>
      <c r="D15" s="17">
        <v>38</v>
      </c>
      <c r="E15" s="5">
        <v>20</v>
      </c>
      <c r="F15" s="5">
        <v>40</v>
      </c>
      <c r="G15" s="5">
        <v>17</v>
      </c>
      <c r="H15" s="5">
        <v>20</v>
      </c>
      <c r="I15" s="6">
        <v>97</v>
      </c>
      <c r="J15" s="17">
        <v>29</v>
      </c>
      <c r="K15" s="11">
        <v>30</v>
      </c>
      <c r="L15" s="11">
        <v>30</v>
      </c>
      <c r="M15" s="11">
        <v>17</v>
      </c>
      <c r="N15" s="11">
        <v>19</v>
      </c>
      <c r="O15" s="8">
        <v>96</v>
      </c>
      <c r="P15" s="8">
        <v>29</v>
      </c>
      <c r="Q15" s="15">
        <v>96</v>
      </c>
      <c r="R15" s="10">
        <f t="shared" si="0"/>
        <v>19.200000000000003</v>
      </c>
      <c r="S15" s="3">
        <v>20</v>
      </c>
      <c r="T15" s="3">
        <v>19</v>
      </c>
      <c r="U15" s="3">
        <v>20</v>
      </c>
      <c r="V15" s="3">
        <v>19</v>
      </c>
      <c r="W15" s="10">
        <f t="shared" si="1"/>
        <v>97.2</v>
      </c>
      <c r="X15" s="3" t="s">
        <v>54</v>
      </c>
      <c r="Y15" s="3"/>
      <c r="Z15" s="3">
        <v>1</v>
      </c>
      <c r="AA15" s="3">
        <v>0.03</v>
      </c>
      <c r="AB15" s="20"/>
      <c r="AC15" s="22">
        <f t="shared" si="2"/>
        <v>95.97</v>
      </c>
      <c r="AD15" s="3">
        <v>3</v>
      </c>
    </row>
    <row r="16" spans="1:31" x14ac:dyDescent="0.25">
      <c r="A16" s="3">
        <v>12</v>
      </c>
      <c r="B16" s="4" t="s">
        <v>21</v>
      </c>
      <c r="C16" s="8">
        <v>88</v>
      </c>
      <c r="D16" s="17">
        <v>35</v>
      </c>
      <c r="E16" s="5">
        <v>17</v>
      </c>
      <c r="F16" s="5">
        <v>16</v>
      </c>
      <c r="G16" s="5">
        <v>16</v>
      </c>
      <c r="H16" s="5">
        <v>17</v>
      </c>
      <c r="I16" s="6">
        <v>66</v>
      </c>
      <c r="J16" s="17">
        <v>20</v>
      </c>
      <c r="K16" s="11">
        <v>28.5</v>
      </c>
      <c r="L16" s="11">
        <v>30</v>
      </c>
      <c r="M16" s="11">
        <v>17</v>
      </c>
      <c r="N16" s="11">
        <v>19</v>
      </c>
      <c r="O16" s="8">
        <v>94.5</v>
      </c>
      <c r="P16" s="8">
        <v>28</v>
      </c>
      <c r="Q16" s="15">
        <v>83</v>
      </c>
      <c r="R16" s="10">
        <f t="shared" si="0"/>
        <v>16.600000000000001</v>
      </c>
      <c r="S16" s="3">
        <v>17</v>
      </c>
      <c r="T16" s="3">
        <v>17</v>
      </c>
      <c r="U16" s="3">
        <v>19</v>
      </c>
      <c r="V16" s="3">
        <v>17</v>
      </c>
      <c r="W16" s="10">
        <f t="shared" si="1"/>
        <v>86.6</v>
      </c>
      <c r="X16" s="3" t="s">
        <v>55</v>
      </c>
      <c r="Y16" s="3"/>
      <c r="Z16" s="3">
        <v>2</v>
      </c>
      <c r="AA16" s="3"/>
      <c r="AB16" s="20"/>
      <c r="AC16" s="22">
        <v>82.94</v>
      </c>
      <c r="AD16" s="3">
        <v>11</v>
      </c>
    </row>
    <row r="17" spans="1:30" x14ac:dyDescent="0.25">
      <c r="A17" s="3">
        <v>13</v>
      </c>
      <c r="B17" s="4" t="s">
        <v>22</v>
      </c>
      <c r="C17" s="8">
        <v>95</v>
      </c>
      <c r="D17" s="17">
        <v>38</v>
      </c>
      <c r="E17" s="5">
        <v>19</v>
      </c>
      <c r="F17" s="5">
        <v>34</v>
      </c>
      <c r="G17" s="5">
        <v>17</v>
      </c>
      <c r="H17" s="5">
        <v>19</v>
      </c>
      <c r="I17" s="6">
        <v>89</v>
      </c>
      <c r="J17" s="17">
        <v>27</v>
      </c>
      <c r="K17" s="11">
        <v>24</v>
      </c>
      <c r="L17" s="11">
        <v>28.5</v>
      </c>
      <c r="M17" s="11">
        <v>18</v>
      </c>
      <c r="N17" s="11">
        <v>20</v>
      </c>
      <c r="O17" s="8">
        <v>90.5</v>
      </c>
      <c r="P17" s="8">
        <v>27</v>
      </c>
      <c r="Q17" s="15">
        <v>92</v>
      </c>
      <c r="R17" s="10">
        <f t="shared" si="0"/>
        <v>18.400000000000002</v>
      </c>
      <c r="S17" s="3">
        <v>19</v>
      </c>
      <c r="T17" s="3">
        <v>19</v>
      </c>
      <c r="U17" s="3">
        <v>21</v>
      </c>
      <c r="V17" s="3">
        <v>19</v>
      </c>
      <c r="W17" s="10">
        <f t="shared" si="1"/>
        <v>96.4</v>
      </c>
      <c r="X17" s="3" t="s">
        <v>54</v>
      </c>
      <c r="Z17" s="3"/>
      <c r="AA17" s="3"/>
      <c r="AB17" s="20">
        <v>1</v>
      </c>
      <c r="AC17" s="22">
        <f t="shared" si="2"/>
        <v>93</v>
      </c>
      <c r="AD17" s="3">
        <v>4</v>
      </c>
    </row>
    <row r="18" spans="1:30" x14ac:dyDescent="0.25">
      <c r="A18" s="3">
        <v>14</v>
      </c>
      <c r="B18" s="4" t="s">
        <v>23</v>
      </c>
      <c r="C18" s="8">
        <v>78</v>
      </c>
      <c r="D18" s="17">
        <v>31</v>
      </c>
      <c r="E18" s="5">
        <v>16</v>
      </c>
      <c r="F18" s="5">
        <v>26</v>
      </c>
      <c r="G18" s="5">
        <v>16</v>
      </c>
      <c r="H18" s="5">
        <v>18</v>
      </c>
      <c r="I18" s="6">
        <v>76</v>
      </c>
      <c r="J18" s="17">
        <v>23</v>
      </c>
      <c r="K18" s="11">
        <v>30</v>
      </c>
      <c r="L18" s="11">
        <v>30</v>
      </c>
      <c r="M18" s="11">
        <v>18</v>
      </c>
      <c r="N18" s="11">
        <v>15</v>
      </c>
      <c r="O18" s="8">
        <v>93</v>
      </c>
      <c r="P18" s="8">
        <v>28</v>
      </c>
      <c r="Q18" s="15">
        <v>82</v>
      </c>
      <c r="R18" s="10">
        <f t="shared" si="0"/>
        <v>16.400000000000002</v>
      </c>
      <c r="S18" s="3">
        <v>17</v>
      </c>
      <c r="T18" s="3">
        <v>16</v>
      </c>
      <c r="U18" s="3">
        <v>19</v>
      </c>
      <c r="V18" s="3">
        <v>17</v>
      </c>
      <c r="W18" s="10">
        <f t="shared" si="1"/>
        <v>85.4</v>
      </c>
      <c r="X18" s="3" t="s">
        <v>56</v>
      </c>
      <c r="Y18" s="3">
        <v>5</v>
      </c>
      <c r="AA18" s="3"/>
      <c r="AB18" s="20"/>
      <c r="AC18" s="22">
        <f t="shared" si="2"/>
        <v>82</v>
      </c>
      <c r="AD18" s="3">
        <v>13</v>
      </c>
    </row>
    <row r="19" spans="1:30" x14ac:dyDescent="0.25">
      <c r="A19" s="3">
        <v>15</v>
      </c>
      <c r="B19" s="4" t="s">
        <v>24</v>
      </c>
      <c r="C19" s="8">
        <v>77</v>
      </c>
      <c r="D19" s="17">
        <v>31</v>
      </c>
      <c r="E19" s="5">
        <v>18</v>
      </c>
      <c r="F19" s="5">
        <v>25</v>
      </c>
      <c r="G19" s="5">
        <v>16</v>
      </c>
      <c r="H19" s="5">
        <v>18</v>
      </c>
      <c r="I19" s="6">
        <v>77</v>
      </c>
      <c r="J19" s="17">
        <v>23</v>
      </c>
      <c r="K19" s="11">
        <v>27</v>
      </c>
      <c r="L19" s="11">
        <v>18</v>
      </c>
      <c r="M19" s="11">
        <v>17</v>
      </c>
      <c r="N19" s="11">
        <v>5</v>
      </c>
      <c r="O19" s="8">
        <v>67</v>
      </c>
      <c r="P19" s="8">
        <v>20</v>
      </c>
      <c r="Q19" s="15">
        <v>74</v>
      </c>
      <c r="R19" s="10">
        <f t="shared" si="0"/>
        <v>14.8</v>
      </c>
      <c r="S19" s="3">
        <v>17</v>
      </c>
      <c r="T19" s="3">
        <v>17</v>
      </c>
      <c r="U19" s="3">
        <v>19</v>
      </c>
      <c r="V19" s="3">
        <v>17</v>
      </c>
      <c r="W19" s="10">
        <f t="shared" si="1"/>
        <v>84.8</v>
      </c>
      <c r="X19" s="3" t="s">
        <v>56</v>
      </c>
      <c r="Y19" s="3"/>
      <c r="Z19" s="3"/>
      <c r="AA19" s="3"/>
      <c r="AB19" s="20">
        <v>1</v>
      </c>
      <c r="AC19" s="22">
        <f t="shared" si="2"/>
        <v>75</v>
      </c>
      <c r="AD19" s="3">
        <v>20</v>
      </c>
    </row>
    <row r="20" spans="1:30" ht="15" x14ac:dyDescent="0.25">
      <c r="A20" s="3">
        <v>16</v>
      </c>
      <c r="B20" s="7" t="s">
        <v>25</v>
      </c>
      <c r="C20" s="8">
        <v>79</v>
      </c>
      <c r="D20" s="17">
        <v>32</v>
      </c>
      <c r="E20" s="5">
        <v>15</v>
      </c>
      <c r="F20" s="5">
        <v>24</v>
      </c>
      <c r="G20" s="5">
        <v>16</v>
      </c>
      <c r="H20" s="5">
        <v>4</v>
      </c>
      <c r="I20" s="6">
        <v>59</v>
      </c>
      <c r="J20" s="17">
        <v>18</v>
      </c>
      <c r="K20" s="11">
        <v>21</v>
      </c>
      <c r="L20" s="11">
        <v>18</v>
      </c>
      <c r="M20" s="11">
        <v>16</v>
      </c>
      <c r="N20" s="11">
        <v>6</v>
      </c>
      <c r="O20" s="8">
        <v>61</v>
      </c>
      <c r="P20" s="8">
        <v>18</v>
      </c>
      <c r="Q20" s="15">
        <v>68</v>
      </c>
      <c r="R20" s="10">
        <f t="shared" si="0"/>
        <v>13.600000000000001</v>
      </c>
      <c r="S20" s="3">
        <v>17</v>
      </c>
      <c r="T20" s="3">
        <v>16</v>
      </c>
      <c r="U20" s="3">
        <v>19</v>
      </c>
      <c r="V20" s="3">
        <v>17</v>
      </c>
      <c r="W20" s="10">
        <f t="shared" si="1"/>
        <v>82.6</v>
      </c>
      <c r="X20" s="3" t="s">
        <v>56</v>
      </c>
      <c r="Y20" s="3"/>
      <c r="Z20" s="3"/>
      <c r="AA20" s="3"/>
      <c r="AB20" s="20">
        <v>1</v>
      </c>
      <c r="AC20" s="22">
        <f t="shared" si="2"/>
        <v>69</v>
      </c>
      <c r="AD20" s="3">
        <v>30</v>
      </c>
    </row>
    <row r="21" spans="1:30" x14ac:dyDescent="0.25">
      <c r="A21" s="3">
        <v>17</v>
      </c>
      <c r="B21" s="4" t="s">
        <v>26</v>
      </c>
      <c r="C21" s="8">
        <v>77</v>
      </c>
      <c r="D21" s="17">
        <v>31</v>
      </c>
      <c r="E21" s="5">
        <v>19</v>
      </c>
      <c r="F21" s="5">
        <v>14</v>
      </c>
      <c r="G21" s="5">
        <v>16</v>
      </c>
      <c r="H21" s="5">
        <v>12</v>
      </c>
      <c r="I21" s="6">
        <v>61</v>
      </c>
      <c r="J21" s="17">
        <v>18</v>
      </c>
      <c r="K21" s="11">
        <v>18</v>
      </c>
      <c r="L21" s="11">
        <v>7.5</v>
      </c>
      <c r="M21" s="11">
        <v>17</v>
      </c>
      <c r="N21" s="11">
        <v>11</v>
      </c>
      <c r="O21" s="8">
        <v>53.5</v>
      </c>
      <c r="P21" s="8">
        <v>16</v>
      </c>
      <c r="Q21" s="15">
        <v>65</v>
      </c>
      <c r="R21" s="10">
        <f t="shared" si="0"/>
        <v>13</v>
      </c>
      <c r="S21" s="3">
        <v>15</v>
      </c>
      <c r="T21" s="3">
        <v>15</v>
      </c>
      <c r="U21" s="3">
        <v>19</v>
      </c>
      <c r="V21" s="3">
        <v>17</v>
      </c>
      <c r="W21" s="10">
        <f t="shared" si="1"/>
        <v>79</v>
      </c>
      <c r="X21" s="3" t="s">
        <v>58</v>
      </c>
      <c r="Y21" s="3"/>
      <c r="Z21" s="3"/>
      <c r="AA21" s="3"/>
      <c r="AB21" s="20">
        <v>1</v>
      </c>
      <c r="AC21" s="22">
        <f t="shared" si="2"/>
        <v>66</v>
      </c>
      <c r="AD21" s="3">
        <v>32</v>
      </c>
    </row>
    <row r="22" spans="1:30" x14ac:dyDescent="0.25">
      <c r="A22" s="3">
        <v>18</v>
      </c>
      <c r="B22" s="4" t="s">
        <v>27</v>
      </c>
      <c r="C22" s="8">
        <v>97</v>
      </c>
      <c r="D22" s="17">
        <v>39</v>
      </c>
      <c r="E22" s="5">
        <v>19</v>
      </c>
      <c r="F22" s="5">
        <v>38</v>
      </c>
      <c r="G22" s="5">
        <v>18</v>
      </c>
      <c r="H22" s="5">
        <v>20</v>
      </c>
      <c r="I22" s="6">
        <v>95</v>
      </c>
      <c r="J22" s="17">
        <v>29</v>
      </c>
      <c r="K22" s="11">
        <v>25.5</v>
      </c>
      <c r="L22" s="11">
        <v>27</v>
      </c>
      <c r="M22" s="11">
        <v>18</v>
      </c>
      <c r="N22" s="11">
        <v>20</v>
      </c>
      <c r="O22" s="8">
        <v>90.5</v>
      </c>
      <c r="P22" s="8">
        <v>27</v>
      </c>
      <c r="Q22" s="15">
        <v>95</v>
      </c>
      <c r="R22" s="10">
        <f t="shared" si="0"/>
        <v>19</v>
      </c>
      <c r="S22" s="3">
        <v>19</v>
      </c>
      <c r="T22" s="3">
        <v>19</v>
      </c>
      <c r="U22" s="3">
        <v>19</v>
      </c>
      <c r="V22" s="3">
        <v>17</v>
      </c>
      <c r="W22" s="10">
        <v>93</v>
      </c>
      <c r="X22" s="3" t="s">
        <v>53</v>
      </c>
      <c r="Z22" s="3"/>
      <c r="AA22" s="3"/>
      <c r="AB22" s="20">
        <v>1</v>
      </c>
      <c r="AC22" s="22">
        <f t="shared" si="2"/>
        <v>96</v>
      </c>
      <c r="AD22" s="3">
        <v>2</v>
      </c>
    </row>
    <row r="23" spans="1:30" x14ac:dyDescent="0.25">
      <c r="A23" s="3">
        <v>19</v>
      </c>
      <c r="B23" s="4" t="s">
        <v>28</v>
      </c>
      <c r="C23" s="8">
        <v>73</v>
      </c>
      <c r="D23" s="17">
        <v>29</v>
      </c>
      <c r="E23" s="5">
        <v>20</v>
      </c>
      <c r="F23" s="5">
        <v>34</v>
      </c>
      <c r="G23" s="5">
        <v>15</v>
      </c>
      <c r="H23" s="5">
        <v>6</v>
      </c>
      <c r="I23" s="6">
        <v>75</v>
      </c>
      <c r="J23" s="17">
        <v>23</v>
      </c>
      <c r="K23" s="11">
        <v>22.5</v>
      </c>
      <c r="L23" s="11">
        <v>15</v>
      </c>
      <c r="M23" s="11">
        <v>17</v>
      </c>
      <c r="N23" s="11">
        <v>8</v>
      </c>
      <c r="O23" s="8">
        <v>62.5</v>
      </c>
      <c r="P23" s="8">
        <v>19</v>
      </c>
      <c r="Q23" s="15">
        <v>71</v>
      </c>
      <c r="R23" s="10">
        <f t="shared" si="0"/>
        <v>14.200000000000001</v>
      </c>
      <c r="S23" s="3">
        <v>17</v>
      </c>
      <c r="T23" s="3">
        <v>17</v>
      </c>
      <c r="U23" s="3">
        <v>19</v>
      </c>
      <c r="V23" s="3">
        <v>17</v>
      </c>
      <c r="W23" s="10">
        <f t="shared" si="1"/>
        <v>84.2</v>
      </c>
      <c r="X23" s="3" t="s">
        <v>56</v>
      </c>
      <c r="Y23" s="3">
        <v>2</v>
      </c>
      <c r="Z23" s="3">
        <v>2</v>
      </c>
      <c r="AA23" s="3">
        <v>0.06</v>
      </c>
      <c r="AC23" s="22">
        <f t="shared" si="2"/>
        <v>70.94</v>
      </c>
      <c r="AD23" s="3">
        <v>28</v>
      </c>
    </row>
    <row r="24" spans="1:30" x14ac:dyDescent="0.25">
      <c r="A24" s="3">
        <v>20</v>
      </c>
      <c r="B24" s="4" t="s">
        <v>29</v>
      </c>
      <c r="C24" s="8">
        <v>85</v>
      </c>
      <c r="D24" s="17">
        <v>34</v>
      </c>
      <c r="E24" s="5">
        <v>17</v>
      </c>
      <c r="F24" s="5">
        <v>38</v>
      </c>
      <c r="G24" s="5">
        <v>16</v>
      </c>
      <c r="H24" s="5">
        <v>19</v>
      </c>
      <c r="I24" s="6">
        <v>90</v>
      </c>
      <c r="J24" s="17">
        <v>27</v>
      </c>
      <c r="K24" s="11">
        <v>28.5</v>
      </c>
      <c r="L24" s="11">
        <v>22.5</v>
      </c>
      <c r="M24" s="11">
        <v>18</v>
      </c>
      <c r="N24" s="11">
        <v>18</v>
      </c>
      <c r="O24" s="8">
        <v>87</v>
      </c>
      <c r="P24" s="8">
        <v>26</v>
      </c>
      <c r="Q24" s="15">
        <v>87</v>
      </c>
      <c r="R24" s="10">
        <f t="shared" si="0"/>
        <v>17.400000000000002</v>
      </c>
      <c r="S24" s="3">
        <v>19</v>
      </c>
      <c r="T24" s="3">
        <v>18</v>
      </c>
      <c r="U24" s="3">
        <v>19</v>
      </c>
      <c r="V24" s="3">
        <v>17</v>
      </c>
      <c r="W24" s="10">
        <f t="shared" si="1"/>
        <v>90.4</v>
      </c>
      <c r="X24" s="3" t="s">
        <v>53</v>
      </c>
      <c r="Y24" s="3"/>
      <c r="Z24" s="3"/>
      <c r="AA24" s="3"/>
      <c r="AB24" s="20">
        <v>1</v>
      </c>
      <c r="AC24" s="22">
        <f t="shared" si="2"/>
        <v>88</v>
      </c>
      <c r="AD24" s="3">
        <v>7</v>
      </c>
    </row>
    <row r="25" spans="1:30" x14ac:dyDescent="0.25">
      <c r="A25" s="3">
        <v>21</v>
      </c>
      <c r="B25" s="4" t="s">
        <v>30</v>
      </c>
      <c r="C25" s="8">
        <v>81</v>
      </c>
      <c r="D25" s="17">
        <v>32</v>
      </c>
      <c r="E25" s="5">
        <v>17</v>
      </c>
      <c r="F25" s="5">
        <v>36</v>
      </c>
      <c r="G25" s="5">
        <v>18</v>
      </c>
      <c r="H25" s="5">
        <v>20</v>
      </c>
      <c r="I25" s="6">
        <v>91</v>
      </c>
      <c r="J25" s="17">
        <v>27</v>
      </c>
      <c r="K25" s="11">
        <v>21</v>
      </c>
      <c r="L25" s="11">
        <v>16.5</v>
      </c>
      <c r="M25" s="11">
        <v>19</v>
      </c>
      <c r="N25" s="11">
        <v>16</v>
      </c>
      <c r="O25" s="8">
        <v>72.5</v>
      </c>
      <c r="P25" s="8">
        <v>22</v>
      </c>
      <c r="Q25" s="15">
        <v>81</v>
      </c>
      <c r="R25" s="10">
        <f t="shared" si="0"/>
        <v>16.2</v>
      </c>
      <c r="S25" s="3">
        <v>16</v>
      </c>
      <c r="T25" s="3">
        <v>16</v>
      </c>
      <c r="U25" s="3">
        <v>19</v>
      </c>
      <c r="V25" s="3">
        <v>17</v>
      </c>
      <c r="W25" s="10">
        <f t="shared" si="1"/>
        <v>84.2</v>
      </c>
      <c r="X25" s="3" t="s">
        <v>56</v>
      </c>
      <c r="Y25" s="3"/>
      <c r="Z25" s="3"/>
      <c r="AA25" s="3"/>
      <c r="AB25" s="20">
        <v>1</v>
      </c>
      <c r="AC25" s="22">
        <f t="shared" si="2"/>
        <v>82</v>
      </c>
      <c r="AD25" s="3">
        <v>13</v>
      </c>
    </row>
    <row r="26" spans="1:30" x14ac:dyDescent="0.25">
      <c r="A26" s="3">
        <v>22</v>
      </c>
      <c r="B26" s="4" t="s">
        <v>31</v>
      </c>
      <c r="C26" s="8">
        <v>74</v>
      </c>
      <c r="D26" s="17">
        <v>30</v>
      </c>
      <c r="E26" s="5">
        <v>16</v>
      </c>
      <c r="F26" s="5">
        <v>16</v>
      </c>
      <c r="G26" s="5">
        <v>18</v>
      </c>
      <c r="H26" s="5">
        <v>0</v>
      </c>
      <c r="I26" s="6">
        <v>50</v>
      </c>
      <c r="J26" s="17">
        <v>15</v>
      </c>
      <c r="K26" s="11">
        <v>21</v>
      </c>
      <c r="L26" s="11">
        <v>30</v>
      </c>
      <c r="M26" s="11">
        <v>18</v>
      </c>
      <c r="N26" s="11">
        <v>13</v>
      </c>
      <c r="O26" s="8">
        <v>82</v>
      </c>
      <c r="P26" s="8">
        <v>25</v>
      </c>
      <c r="Q26" s="15">
        <v>70</v>
      </c>
      <c r="R26" s="10">
        <f t="shared" si="0"/>
        <v>14</v>
      </c>
      <c r="S26" s="3">
        <v>16</v>
      </c>
      <c r="T26" s="3">
        <v>16</v>
      </c>
      <c r="U26" s="3">
        <v>19</v>
      </c>
      <c r="V26" s="3">
        <v>17</v>
      </c>
      <c r="W26" s="10">
        <f t="shared" si="1"/>
        <v>82</v>
      </c>
      <c r="X26" s="3" t="s">
        <v>56</v>
      </c>
      <c r="Z26" s="3"/>
      <c r="AA26" s="3"/>
      <c r="AB26" s="20">
        <v>1</v>
      </c>
      <c r="AC26" s="22">
        <f t="shared" si="2"/>
        <v>71</v>
      </c>
      <c r="AD26" s="3">
        <v>24</v>
      </c>
    </row>
    <row r="27" spans="1:30" x14ac:dyDescent="0.25">
      <c r="A27" s="3">
        <v>23</v>
      </c>
      <c r="B27" s="4" t="s">
        <v>32</v>
      </c>
      <c r="C27" s="8">
        <v>80</v>
      </c>
      <c r="D27" s="17">
        <v>32</v>
      </c>
      <c r="E27" s="5">
        <v>18</v>
      </c>
      <c r="F27" s="5">
        <v>26</v>
      </c>
      <c r="G27" s="5">
        <v>16</v>
      </c>
      <c r="H27" s="5">
        <v>14</v>
      </c>
      <c r="I27" s="6">
        <v>74</v>
      </c>
      <c r="J27" s="17">
        <v>22</v>
      </c>
      <c r="K27" s="11">
        <v>30</v>
      </c>
      <c r="L27" s="11">
        <v>30</v>
      </c>
      <c r="M27" s="11">
        <v>18</v>
      </c>
      <c r="N27" s="11">
        <v>14</v>
      </c>
      <c r="O27" s="8">
        <v>92</v>
      </c>
      <c r="P27" s="8">
        <v>28</v>
      </c>
      <c r="Q27" s="15">
        <v>82</v>
      </c>
      <c r="R27" s="10">
        <f t="shared" si="0"/>
        <v>16.400000000000002</v>
      </c>
      <c r="S27" s="3">
        <v>17</v>
      </c>
      <c r="T27" s="3">
        <v>17</v>
      </c>
      <c r="U27" s="3">
        <v>19</v>
      </c>
      <c r="V27" s="3">
        <v>17</v>
      </c>
      <c r="W27" s="10">
        <f t="shared" si="1"/>
        <v>86.4</v>
      </c>
      <c r="X27" s="3" t="s">
        <v>55</v>
      </c>
      <c r="Y27" s="3">
        <v>1</v>
      </c>
      <c r="Z27" s="3"/>
      <c r="AA27" s="3"/>
      <c r="AB27" s="20"/>
      <c r="AC27" s="22">
        <f t="shared" si="2"/>
        <v>82</v>
      </c>
      <c r="AD27" s="3">
        <v>13</v>
      </c>
    </row>
    <row r="28" spans="1:30" ht="15" x14ac:dyDescent="0.25">
      <c r="A28" s="3">
        <v>24</v>
      </c>
      <c r="B28" s="7" t="s">
        <v>33</v>
      </c>
      <c r="C28" s="8">
        <v>80</v>
      </c>
      <c r="D28" s="17">
        <v>32</v>
      </c>
      <c r="E28" s="5">
        <v>18</v>
      </c>
      <c r="F28" s="5">
        <v>38</v>
      </c>
      <c r="G28" s="5">
        <v>17</v>
      </c>
      <c r="H28" s="5">
        <v>18</v>
      </c>
      <c r="I28" s="6">
        <v>91</v>
      </c>
      <c r="J28" s="17">
        <v>27</v>
      </c>
      <c r="K28" s="11">
        <v>24</v>
      </c>
      <c r="L28" s="11">
        <v>12</v>
      </c>
      <c r="M28" s="11">
        <v>18</v>
      </c>
      <c r="N28" s="11">
        <v>6</v>
      </c>
      <c r="O28" s="8">
        <v>60</v>
      </c>
      <c r="P28" s="8">
        <v>18</v>
      </c>
      <c r="Q28" s="15">
        <v>77</v>
      </c>
      <c r="R28" s="10">
        <f t="shared" si="0"/>
        <v>15.4</v>
      </c>
      <c r="S28" s="3">
        <v>18</v>
      </c>
      <c r="T28" s="3">
        <v>17</v>
      </c>
      <c r="U28" s="3">
        <v>19</v>
      </c>
      <c r="V28" s="3">
        <v>17</v>
      </c>
      <c r="W28" s="10">
        <f t="shared" si="1"/>
        <v>86.4</v>
      </c>
      <c r="X28" s="3" t="s">
        <v>55</v>
      </c>
      <c r="Y28" s="3">
        <v>4</v>
      </c>
      <c r="Z28" s="3"/>
      <c r="AA28" s="3"/>
      <c r="AB28" s="20"/>
      <c r="AC28" s="22">
        <f t="shared" si="2"/>
        <v>77</v>
      </c>
      <c r="AD28" s="3">
        <v>16</v>
      </c>
    </row>
    <row r="29" spans="1:30" x14ac:dyDescent="0.25">
      <c r="A29" s="3">
        <v>25</v>
      </c>
      <c r="B29" s="4" t="s">
        <v>34</v>
      </c>
      <c r="C29" s="8">
        <v>77</v>
      </c>
      <c r="D29" s="17">
        <v>31</v>
      </c>
      <c r="E29" s="5">
        <v>13</v>
      </c>
      <c r="F29" s="5">
        <v>30</v>
      </c>
      <c r="G29" s="5">
        <v>17</v>
      </c>
      <c r="H29" s="5">
        <v>16</v>
      </c>
      <c r="I29" s="6">
        <v>76</v>
      </c>
      <c r="J29" s="17">
        <v>23</v>
      </c>
      <c r="K29" s="11">
        <v>19.5</v>
      </c>
      <c r="L29" s="11">
        <v>30</v>
      </c>
      <c r="M29" s="11">
        <v>18</v>
      </c>
      <c r="N29" s="11">
        <v>6</v>
      </c>
      <c r="O29" s="8">
        <v>73.5</v>
      </c>
      <c r="P29" s="8">
        <v>22</v>
      </c>
      <c r="Q29" s="15">
        <v>76</v>
      </c>
      <c r="R29" s="10">
        <f t="shared" si="0"/>
        <v>15.200000000000001</v>
      </c>
      <c r="S29" s="3">
        <v>17</v>
      </c>
      <c r="T29" s="3">
        <v>16</v>
      </c>
      <c r="U29" s="3">
        <v>19</v>
      </c>
      <c r="V29" s="3">
        <v>17</v>
      </c>
      <c r="W29" s="10">
        <f t="shared" si="1"/>
        <v>84.2</v>
      </c>
      <c r="X29" s="3" t="s">
        <v>56</v>
      </c>
      <c r="Y29" s="3">
        <v>2</v>
      </c>
      <c r="Z29" s="3"/>
      <c r="AA29" s="3"/>
      <c r="AB29" s="20"/>
      <c r="AC29" s="22">
        <f t="shared" si="2"/>
        <v>76</v>
      </c>
      <c r="AD29" s="3">
        <v>18</v>
      </c>
    </row>
    <row r="30" spans="1:30" x14ac:dyDescent="0.25">
      <c r="A30" s="3">
        <v>26</v>
      </c>
      <c r="B30" s="4" t="s">
        <v>35</v>
      </c>
      <c r="C30" s="8">
        <v>85</v>
      </c>
      <c r="D30" s="17">
        <v>34</v>
      </c>
      <c r="E30" s="5">
        <v>18</v>
      </c>
      <c r="F30" s="5">
        <v>28</v>
      </c>
      <c r="G30" s="5">
        <v>17</v>
      </c>
      <c r="H30" s="5">
        <v>20</v>
      </c>
      <c r="I30" s="6">
        <v>83</v>
      </c>
      <c r="J30" s="17">
        <v>25</v>
      </c>
      <c r="K30" s="11">
        <v>24</v>
      </c>
      <c r="L30" s="11">
        <v>30</v>
      </c>
      <c r="M30" s="11">
        <v>18</v>
      </c>
      <c r="N30" s="11">
        <v>11</v>
      </c>
      <c r="O30" s="8">
        <v>83</v>
      </c>
      <c r="P30" s="8">
        <v>25</v>
      </c>
      <c r="Q30" s="15">
        <v>84</v>
      </c>
      <c r="R30" s="10">
        <f t="shared" si="0"/>
        <v>16.8</v>
      </c>
      <c r="S30" s="3">
        <v>17</v>
      </c>
      <c r="T30" s="3">
        <v>17</v>
      </c>
      <c r="U30" s="3">
        <v>19</v>
      </c>
      <c r="V30" s="3">
        <v>17</v>
      </c>
      <c r="W30" s="10">
        <f t="shared" si="1"/>
        <v>86.8</v>
      </c>
      <c r="X30" s="3" t="s">
        <v>55</v>
      </c>
      <c r="Y30" s="3"/>
      <c r="Z30" s="3"/>
      <c r="AA30" s="3"/>
      <c r="AB30" s="20">
        <v>1</v>
      </c>
      <c r="AC30" s="22">
        <f t="shared" si="2"/>
        <v>85</v>
      </c>
      <c r="AD30" s="3">
        <v>9</v>
      </c>
    </row>
    <row r="31" spans="1:30" x14ac:dyDescent="0.25">
      <c r="A31" s="3">
        <v>27</v>
      </c>
      <c r="B31" s="4" t="s">
        <v>36</v>
      </c>
      <c r="C31" s="8">
        <v>82</v>
      </c>
      <c r="D31" s="17">
        <v>33</v>
      </c>
      <c r="E31" s="5">
        <v>15</v>
      </c>
      <c r="F31" s="5">
        <v>11</v>
      </c>
      <c r="G31" s="5">
        <v>17</v>
      </c>
      <c r="H31" s="5">
        <v>10</v>
      </c>
      <c r="I31" s="6">
        <v>53</v>
      </c>
      <c r="J31" s="17">
        <v>16</v>
      </c>
      <c r="K31" s="11">
        <v>22.5</v>
      </c>
      <c r="L31" s="11">
        <v>30</v>
      </c>
      <c r="M31" s="11">
        <v>19</v>
      </c>
      <c r="N31" s="11">
        <v>11</v>
      </c>
      <c r="O31" s="8">
        <v>82.5</v>
      </c>
      <c r="P31" s="8">
        <v>25</v>
      </c>
      <c r="Q31" s="15">
        <v>74</v>
      </c>
      <c r="R31" s="10">
        <f t="shared" si="0"/>
        <v>14.8</v>
      </c>
      <c r="S31" s="3">
        <v>17</v>
      </c>
      <c r="T31" s="3">
        <v>17</v>
      </c>
      <c r="U31" s="3">
        <v>19</v>
      </c>
      <c r="V31" s="3">
        <v>17</v>
      </c>
      <c r="W31" s="10">
        <f t="shared" si="1"/>
        <v>84.8</v>
      </c>
      <c r="X31" s="3" t="s">
        <v>56</v>
      </c>
      <c r="Y31" s="3"/>
      <c r="Z31" s="3"/>
      <c r="AA31" s="3"/>
      <c r="AB31" s="20">
        <v>1</v>
      </c>
      <c r="AC31" s="22">
        <f t="shared" si="2"/>
        <v>75</v>
      </c>
      <c r="AD31" s="3">
        <v>20</v>
      </c>
    </row>
    <row r="32" spans="1:30" x14ac:dyDescent="0.25">
      <c r="A32" s="3">
        <v>28</v>
      </c>
      <c r="B32" s="4" t="s">
        <v>37</v>
      </c>
      <c r="C32" s="8">
        <v>79</v>
      </c>
      <c r="D32" s="17">
        <v>32</v>
      </c>
      <c r="E32" s="5">
        <v>15</v>
      </c>
      <c r="F32" s="5">
        <v>28</v>
      </c>
      <c r="G32" s="5">
        <v>16</v>
      </c>
      <c r="H32" s="5">
        <v>18</v>
      </c>
      <c r="I32" s="6">
        <v>77</v>
      </c>
      <c r="J32" s="17">
        <v>23</v>
      </c>
      <c r="K32" s="11">
        <v>15</v>
      </c>
      <c r="L32" s="11">
        <v>16.5</v>
      </c>
      <c r="M32" s="11">
        <v>18</v>
      </c>
      <c r="N32" s="11">
        <v>6</v>
      </c>
      <c r="O32" s="8">
        <v>55.5</v>
      </c>
      <c r="P32" s="8">
        <v>27</v>
      </c>
      <c r="Q32" s="15">
        <v>82</v>
      </c>
      <c r="R32" s="10">
        <f t="shared" si="0"/>
        <v>16.400000000000002</v>
      </c>
      <c r="S32" s="3">
        <v>17</v>
      </c>
      <c r="T32" s="3">
        <v>17</v>
      </c>
      <c r="U32" s="3">
        <v>19</v>
      </c>
      <c r="V32" s="3">
        <v>17</v>
      </c>
      <c r="W32" s="10">
        <f t="shared" si="1"/>
        <v>86.4</v>
      </c>
      <c r="X32" s="3" t="s">
        <v>56</v>
      </c>
      <c r="Y32" s="3"/>
      <c r="Z32" s="3"/>
      <c r="AA32" s="3"/>
      <c r="AB32" s="20">
        <v>1</v>
      </c>
      <c r="AC32" s="22">
        <f t="shared" si="2"/>
        <v>83</v>
      </c>
      <c r="AD32" s="3">
        <v>10</v>
      </c>
    </row>
    <row r="33" spans="1:30" x14ac:dyDescent="0.25">
      <c r="A33" s="3">
        <v>29</v>
      </c>
      <c r="B33" s="4" t="s">
        <v>38</v>
      </c>
      <c r="C33" s="8">
        <v>77</v>
      </c>
      <c r="D33" s="17">
        <v>31</v>
      </c>
      <c r="E33" s="5">
        <v>14</v>
      </c>
      <c r="F33" s="5">
        <v>4</v>
      </c>
      <c r="G33" s="5">
        <v>17</v>
      </c>
      <c r="H33" s="5">
        <v>15</v>
      </c>
      <c r="I33" s="6">
        <v>50</v>
      </c>
      <c r="J33" s="17">
        <v>15</v>
      </c>
      <c r="K33" s="11">
        <v>12</v>
      </c>
      <c r="L33" s="11">
        <v>13.5</v>
      </c>
      <c r="M33" s="11">
        <v>18</v>
      </c>
      <c r="N33" s="11">
        <v>9</v>
      </c>
      <c r="O33" s="8">
        <v>52.5</v>
      </c>
      <c r="P33" s="8">
        <v>16</v>
      </c>
      <c r="Q33" s="15">
        <v>62</v>
      </c>
      <c r="R33" s="10">
        <f t="shared" si="0"/>
        <v>12.4</v>
      </c>
      <c r="S33" s="3">
        <v>17</v>
      </c>
      <c r="T33" s="3">
        <v>17</v>
      </c>
      <c r="U33" s="3">
        <v>19</v>
      </c>
      <c r="V33" s="3">
        <v>17</v>
      </c>
      <c r="W33" s="10">
        <f t="shared" si="1"/>
        <v>82.4</v>
      </c>
      <c r="X33" s="3" t="s">
        <v>56</v>
      </c>
      <c r="Y33" s="3">
        <v>4</v>
      </c>
      <c r="Z33" s="3">
        <v>1</v>
      </c>
      <c r="AA33" s="3">
        <v>0.03</v>
      </c>
      <c r="AB33" s="20"/>
      <c r="AC33" s="22">
        <f>Q33-AA33+AB33</f>
        <v>61.97</v>
      </c>
      <c r="AD33" s="3">
        <v>35</v>
      </c>
    </row>
    <row r="34" spans="1:30" x14ac:dyDescent="0.25">
      <c r="A34" s="3">
        <v>30</v>
      </c>
      <c r="B34" s="4" t="s">
        <v>39</v>
      </c>
      <c r="C34" s="8">
        <v>77</v>
      </c>
      <c r="D34" s="17">
        <v>31</v>
      </c>
      <c r="E34" s="5">
        <v>10</v>
      </c>
      <c r="F34" s="5">
        <v>16</v>
      </c>
      <c r="G34" s="5">
        <v>17</v>
      </c>
      <c r="H34" s="5">
        <v>12</v>
      </c>
      <c r="I34" s="6">
        <v>55</v>
      </c>
      <c r="J34" s="17">
        <v>17</v>
      </c>
      <c r="K34" s="11">
        <v>15</v>
      </c>
      <c r="L34" s="11">
        <v>15</v>
      </c>
      <c r="M34" s="11">
        <v>17</v>
      </c>
      <c r="N34" s="11">
        <v>7</v>
      </c>
      <c r="O34" s="8">
        <v>54</v>
      </c>
      <c r="P34" s="8">
        <v>16</v>
      </c>
      <c r="Q34" s="15">
        <v>64</v>
      </c>
      <c r="R34" s="10">
        <f t="shared" si="0"/>
        <v>12.8</v>
      </c>
      <c r="S34" s="3">
        <v>18</v>
      </c>
      <c r="T34" s="3">
        <v>17</v>
      </c>
      <c r="U34" s="3">
        <v>19</v>
      </c>
      <c r="V34" s="3">
        <v>17</v>
      </c>
      <c r="W34" s="10">
        <f t="shared" si="1"/>
        <v>83.8</v>
      </c>
      <c r="X34" s="3" t="s">
        <v>56</v>
      </c>
      <c r="Y34" s="3">
        <v>6</v>
      </c>
      <c r="Z34" s="3">
        <v>1</v>
      </c>
      <c r="AA34" s="3">
        <v>0.03</v>
      </c>
      <c r="AB34" s="20"/>
      <c r="AC34" s="22">
        <f t="shared" si="2"/>
        <v>63.97</v>
      </c>
      <c r="AD34" s="3">
        <v>34</v>
      </c>
    </row>
    <row r="35" spans="1:30" x14ac:dyDescent="0.25">
      <c r="A35" s="3">
        <v>31</v>
      </c>
      <c r="B35" s="4" t="s">
        <v>40</v>
      </c>
      <c r="C35" s="8">
        <v>97</v>
      </c>
      <c r="D35" s="17">
        <v>39</v>
      </c>
      <c r="E35" s="5">
        <v>19</v>
      </c>
      <c r="F35" s="5">
        <v>40</v>
      </c>
      <c r="G35" s="5">
        <v>18</v>
      </c>
      <c r="H35" s="5">
        <v>20</v>
      </c>
      <c r="I35" s="6">
        <v>97</v>
      </c>
      <c r="J35" s="17">
        <v>29</v>
      </c>
      <c r="K35" s="11">
        <v>30</v>
      </c>
      <c r="L35" s="11">
        <v>30</v>
      </c>
      <c r="M35" s="11">
        <v>18</v>
      </c>
      <c r="N35" s="11">
        <v>20</v>
      </c>
      <c r="O35" s="8">
        <v>98</v>
      </c>
      <c r="P35" s="8">
        <v>29</v>
      </c>
      <c r="Q35" s="15">
        <v>97</v>
      </c>
      <c r="R35" s="10">
        <f t="shared" si="0"/>
        <v>19.400000000000002</v>
      </c>
      <c r="S35" s="3">
        <v>19</v>
      </c>
      <c r="T35" s="3">
        <v>20</v>
      </c>
      <c r="U35" s="3">
        <v>19</v>
      </c>
      <c r="V35" s="3">
        <v>19</v>
      </c>
      <c r="W35" s="10">
        <f t="shared" si="1"/>
        <v>96.4</v>
      </c>
      <c r="X35" s="3" t="s">
        <v>54</v>
      </c>
      <c r="Y35" s="3"/>
      <c r="Z35" s="3"/>
      <c r="AA35" s="3"/>
      <c r="AB35" s="20">
        <v>1</v>
      </c>
      <c r="AC35" s="22">
        <f t="shared" si="2"/>
        <v>98</v>
      </c>
      <c r="AD35" s="3">
        <v>1</v>
      </c>
    </row>
    <row r="36" spans="1:30" x14ac:dyDescent="0.25">
      <c r="A36" s="3">
        <v>32</v>
      </c>
      <c r="B36" s="4" t="s">
        <v>41</v>
      </c>
      <c r="C36" s="8">
        <v>95</v>
      </c>
      <c r="D36" s="17">
        <v>38</v>
      </c>
      <c r="E36" s="5">
        <v>16</v>
      </c>
      <c r="F36" s="5">
        <v>30</v>
      </c>
      <c r="G36" s="5">
        <v>18</v>
      </c>
      <c r="H36" s="5">
        <v>19</v>
      </c>
      <c r="I36" s="6">
        <v>83</v>
      </c>
      <c r="J36" s="17">
        <v>25</v>
      </c>
      <c r="K36" s="11">
        <v>28.5</v>
      </c>
      <c r="L36" s="11">
        <v>30</v>
      </c>
      <c r="M36" s="11">
        <v>18</v>
      </c>
      <c r="N36" s="11">
        <v>20</v>
      </c>
      <c r="O36" s="8">
        <v>96.5</v>
      </c>
      <c r="P36" s="8">
        <v>29</v>
      </c>
      <c r="Q36" s="15">
        <v>92</v>
      </c>
      <c r="R36" s="10">
        <f t="shared" si="0"/>
        <v>18.400000000000002</v>
      </c>
      <c r="S36" s="3">
        <v>19</v>
      </c>
      <c r="T36" s="3">
        <v>20</v>
      </c>
      <c r="U36" s="3">
        <v>19</v>
      </c>
      <c r="V36" s="3">
        <v>19</v>
      </c>
      <c r="W36" s="10">
        <f t="shared" si="1"/>
        <v>95.4</v>
      </c>
      <c r="X36" s="3" t="s">
        <v>54</v>
      </c>
      <c r="Y36" s="3">
        <v>5</v>
      </c>
      <c r="Z36" s="3">
        <v>2</v>
      </c>
      <c r="AA36" s="3">
        <v>0.06</v>
      </c>
      <c r="AB36" s="20"/>
      <c r="AC36" s="22">
        <f t="shared" si="2"/>
        <v>91.94</v>
      </c>
      <c r="AD36" s="3">
        <v>5</v>
      </c>
    </row>
    <row r="37" spans="1:30" x14ac:dyDescent="0.25">
      <c r="A37" s="3">
        <v>33</v>
      </c>
      <c r="B37" s="4" t="s">
        <v>42</v>
      </c>
      <c r="C37" s="8">
        <v>81</v>
      </c>
      <c r="D37" s="17">
        <v>32</v>
      </c>
      <c r="E37" s="5">
        <v>16</v>
      </c>
      <c r="F37" s="5">
        <v>28</v>
      </c>
      <c r="G37" s="5">
        <v>18</v>
      </c>
      <c r="H37" s="5">
        <v>20</v>
      </c>
      <c r="I37" s="6">
        <v>82</v>
      </c>
      <c r="J37" s="17">
        <v>25</v>
      </c>
      <c r="K37" s="11">
        <v>21</v>
      </c>
      <c r="L37" s="11">
        <v>13.5</v>
      </c>
      <c r="M37" s="11">
        <v>17</v>
      </c>
      <c r="N37" s="11">
        <v>10</v>
      </c>
      <c r="O37" s="8">
        <v>61.5</v>
      </c>
      <c r="P37" s="8">
        <v>18</v>
      </c>
      <c r="Q37" s="15">
        <v>75</v>
      </c>
      <c r="R37" s="10">
        <f t="shared" si="0"/>
        <v>15</v>
      </c>
      <c r="S37" s="3">
        <v>17</v>
      </c>
      <c r="T37" s="3">
        <v>16</v>
      </c>
      <c r="U37" s="3">
        <v>19</v>
      </c>
      <c r="V37" s="3">
        <v>17</v>
      </c>
      <c r="W37" s="10">
        <f t="shared" si="1"/>
        <v>84</v>
      </c>
      <c r="X37" s="3" t="s">
        <v>56</v>
      </c>
      <c r="Y37" s="3">
        <v>1</v>
      </c>
      <c r="Z37" s="3">
        <v>6</v>
      </c>
      <c r="AA37" s="3">
        <v>0.18</v>
      </c>
      <c r="AB37" s="20"/>
      <c r="AC37" s="22">
        <f t="shared" si="2"/>
        <v>74.819999999999993</v>
      </c>
      <c r="AD37" s="3">
        <v>22</v>
      </c>
    </row>
    <row r="38" spans="1:30" x14ac:dyDescent="0.25">
      <c r="A38" s="3">
        <v>34</v>
      </c>
      <c r="B38" s="4" t="s">
        <v>43</v>
      </c>
      <c r="C38" s="8">
        <v>75</v>
      </c>
      <c r="D38" s="17">
        <v>30</v>
      </c>
      <c r="E38" s="5">
        <v>15</v>
      </c>
      <c r="F38" s="5">
        <v>30</v>
      </c>
      <c r="G38" s="5">
        <v>16</v>
      </c>
      <c r="H38" s="5">
        <v>18</v>
      </c>
      <c r="I38" s="6">
        <v>79</v>
      </c>
      <c r="J38" s="17">
        <v>24</v>
      </c>
      <c r="K38" s="11">
        <v>21</v>
      </c>
      <c r="L38" s="11">
        <v>13.5</v>
      </c>
      <c r="M38" s="11">
        <v>18</v>
      </c>
      <c r="N38" s="11">
        <v>5</v>
      </c>
      <c r="O38" s="8">
        <v>57.5</v>
      </c>
      <c r="P38" s="8">
        <v>17</v>
      </c>
      <c r="Q38" s="15">
        <v>71</v>
      </c>
      <c r="R38" s="10">
        <f t="shared" si="0"/>
        <v>14.200000000000001</v>
      </c>
      <c r="S38" s="3">
        <v>17</v>
      </c>
      <c r="T38" s="3">
        <v>17</v>
      </c>
      <c r="U38" s="3">
        <v>19</v>
      </c>
      <c r="V38" s="3">
        <v>17</v>
      </c>
      <c r="W38" s="10">
        <f t="shared" si="1"/>
        <v>84.2</v>
      </c>
      <c r="X38" s="3" t="s">
        <v>56</v>
      </c>
      <c r="Y38" s="3">
        <v>6</v>
      </c>
      <c r="Z38" s="3"/>
      <c r="AA38" s="3"/>
      <c r="AB38" s="20"/>
      <c r="AC38" s="22">
        <f t="shared" si="2"/>
        <v>71</v>
      </c>
      <c r="AD38" s="3">
        <v>24</v>
      </c>
    </row>
    <row r="39" spans="1:30" x14ac:dyDescent="0.25">
      <c r="A39" s="3">
        <v>35</v>
      </c>
      <c r="B39" s="4" t="s">
        <v>44</v>
      </c>
      <c r="C39" s="8">
        <v>85</v>
      </c>
      <c r="D39" s="17">
        <v>34</v>
      </c>
      <c r="E39" s="5">
        <v>16</v>
      </c>
      <c r="F39" s="5">
        <v>26</v>
      </c>
      <c r="G39" s="5">
        <v>17</v>
      </c>
      <c r="H39" s="5">
        <v>18</v>
      </c>
      <c r="I39" s="6">
        <v>77</v>
      </c>
      <c r="J39" s="17">
        <v>23</v>
      </c>
      <c r="K39" s="11">
        <v>28.5</v>
      </c>
      <c r="L39" s="11">
        <v>30</v>
      </c>
      <c r="M39" s="11">
        <v>18</v>
      </c>
      <c r="N39" s="11">
        <v>6</v>
      </c>
      <c r="O39" s="8">
        <v>82.5</v>
      </c>
      <c r="P39" s="8">
        <v>25</v>
      </c>
      <c r="Q39" s="15">
        <v>82</v>
      </c>
      <c r="R39" s="10">
        <f t="shared" si="0"/>
        <v>16.400000000000002</v>
      </c>
      <c r="S39" s="3">
        <v>18</v>
      </c>
      <c r="T39" s="3">
        <v>18</v>
      </c>
      <c r="U39" s="3">
        <v>19</v>
      </c>
      <c r="V39" s="3">
        <v>17</v>
      </c>
      <c r="W39" s="10">
        <f t="shared" si="1"/>
        <v>88.4</v>
      </c>
      <c r="X39" s="3" t="s">
        <v>55</v>
      </c>
      <c r="Y39" s="3"/>
      <c r="AA39" s="3"/>
      <c r="AB39" s="20">
        <v>1</v>
      </c>
      <c r="AC39" s="22">
        <f t="shared" si="2"/>
        <v>83</v>
      </c>
      <c r="AD39" s="3">
        <v>10</v>
      </c>
    </row>
    <row r="40" spans="1:30" ht="15" x14ac:dyDescent="0.25">
      <c r="A40" s="3">
        <v>36</v>
      </c>
      <c r="B40" s="7" t="s">
        <v>45</v>
      </c>
      <c r="C40" s="8">
        <v>76</v>
      </c>
      <c r="D40" s="17">
        <v>30.400000000000002</v>
      </c>
      <c r="E40" s="5">
        <v>14</v>
      </c>
      <c r="F40" s="5">
        <v>2</v>
      </c>
      <c r="G40" s="5">
        <v>17</v>
      </c>
      <c r="H40" s="5">
        <v>17</v>
      </c>
      <c r="I40" s="6">
        <v>50</v>
      </c>
      <c r="J40" s="17">
        <v>15</v>
      </c>
      <c r="K40" s="11">
        <v>28.5</v>
      </c>
      <c r="L40" s="11">
        <v>30</v>
      </c>
      <c r="M40" s="11">
        <v>18</v>
      </c>
      <c r="N40" s="11">
        <v>7</v>
      </c>
      <c r="O40" s="8">
        <v>83.5</v>
      </c>
      <c r="P40" s="8">
        <v>25</v>
      </c>
      <c r="Q40" s="15">
        <v>70.400000000000006</v>
      </c>
      <c r="R40" s="10">
        <f t="shared" si="0"/>
        <v>14.080000000000002</v>
      </c>
      <c r="S40" s="3">
        <v>17</v>
      </c>
      <c r="T40" s="3">
        <v>16</v>
      </c>
      <c r="U40" s="3">
        <v>19</v>
      </c>
      <c r="V40" s="3">
        <v>17</v>
      </c>
      <c r="W40" s="10">
        <f t="shared" si="1"/>
        <v>83.08</v>
      </c>
      <c r="X40" s="3" t="s">
        <v>56</v>
      </c>
      <c r="Z40" s="3">
        <v>2</v>
      </c>
      <c r="AA40" s="3">
        <v>0.06</v>
      </c>
      <c r="AB40" s="20"/>
      <c r="AC40" s="22">
        <v>69.94</v>
      </c>
      <c r="AD40" s="3">
        <v>29</v>
      </c>
    </row>
    <row r="41" spans="1:30" x14ac:dyDescent="0.25">
      <c r="A41" t="s">
        <v>73</v>
      </c>
      <c r="K41" s="12"/>
      <c r="L41" s="12"/>
      <c r="M41" s="12"/>
      <c r="N41" s="12"/>
    </row>
  </sheetData>
  <mergeCells count="10">
    <mergeCell ref="A1:AE1"/>
    <mergeCell ref="R3:X3"/>
    <mergeCell ref="Y3:AB3"/>
    <mergeCell ref="A2:AC2"/>
    <mergeCell ref="A3:A4"/>
    <mergeCell ref="B3:B4"/>
    <mergeCell ref="C3:D3"/>
    <mergeCell ref="E3:J3"/>
    <mergeCell ref="K3:P3"/>
    <mergeCell ref="Q3:Q4"/>
  </mergeCells>
  <phoneticPr fontId="1" type="noConversion"/>
  <pageMargins left="0.70866141732283472" right="0.70866141732283472" top="0.45" bottom="0.74803149606299213" header="0.31496062992125984" footer="0.31496062992125984"/>
  <pageSetup paperSize="9" scale="90" orientation="landscape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37"/>
  <sheetViews>
    <sheetView workbookViewId="0">
      <selection activeCell="F35" sqref="F35"/>
    </sheetView>
  </sheetViews>
  <sheetFormatPr defaultRowHeight="14" x14ac:dyDescent="0.25"/>
  <cols>
    <col min="1" max="1" width="8.7265625" customWidth="1"/>
  </cols>
  <sheetData>
    <row r="1" spans="1:5" x14ac:dyDescent="0.25">
      <c r="A1" t="s">
        <v>74</v>
      </c>
      <c r="B1" t="s">
        <v>77</v>
      </c>
      <c r="C1" t="s">
        <v>75</v>
      </c>
      <c r="D1" t="s">
        <v>76</v>
      </c>
      <c r="E1" t="s">
        <v>81</v>
      </c>
    </row>
    <row r="2" spans="1:5" x14ac:dyDescent="0.25">
      <c r="A2" s="3">
        <v>31</v>
      </c>
      <c r="B2" s="3">
        <v>1</v>
      </c>
      <c r="C2" s="4" t="s">
        <v>40</v>
      </c>
      <c r="D2" s="23">
        <v>98</v>
      </c>
      <c r="E2" s="3" t="s">
        <v>54</v>
      </c>
    </row>
    <row r="3" spans="1:5" x14ac:dyDescent="0.25">
      <c r="A3" s="3">
        <v>18</v>
      </c>
      <c r="B3" s="3">
        <v>2</v>
      </c>
      <c r="C3" s="4" t="s">
        <v>27</v>
      </c>
      <c r="D3" s="23">
        <v>96</v>
      </c>
      <c r="E3" s="3" t="s">
        <v>53</v>
      </c>
    </row>
    <row r="4" spans="1:5" x14ac:dyDescent="0.25">
      <c r="A4" s="3">
        <v>11</v>
      </c>
      <c r="B4" s="3">
        <v>3</v>
      </c>
      <c r="C4" s="4" t="s">
        <v>20</v>
      </c>
      <c r="D4" s="23">
        <v>95.97</v>
      </c>
      <c r="E4" s="3" t="s">
        <v>54</v>
      </c>
    </row>
    <row r="5" spans="1:5" x14ac:dyDescent="0.25">
      <c r="A5" s="3">
        <v>13</v>
      </c>
      <c r="B5" s="3">
        <v>4</v>
      </c>
      <c r="C5" s="4" t="s">
        <v>22</v>
      </c>
      <c r="D5" s="23">
        <v>93</v>
      </c>
      <c r="E5" s="3" t="s">
        <v>54</v>
      </c>
    </row>
    <row r="6" spans="1:5" x14ac:dyDescent="0.25">
      <c r="A6" s="3">
        <v>32</v>
      </c>
      <c r="B6" s="3">
        <v>5</v>
      </c>
      <c r="C6" s="4" t="s">
        <v>41</v>
      </c>
      <c r="D6" s="23">
        <v>91.94</v>
      </c>
      <c r="E6" s="3" t="s">
        <v>54</v>
      </c>
    </row>
    <row r="7" spans="1:5" x14ac:dyDescent="0.25">
      <c r="A7" s="3">
        <v>2</v>
      </c>
      <c r="B7" s="3">
        <v>6</v>
      </c>
      <c r="C7" s="4" t="s">
        <v>11</v>
      </c>
      <c r="D7" s="23">
        <v>90</v>
      </c>
      <c r="E7" s="3" t="s">
        <v>55</v>
      </c>
    </row>
    <row r="8" spans="1:5" x14ac:dyDescent="0.25">
      <c r="A8" s="3">
        <v>1</v>
      </c>
      <c r="B8" s="3">
        <v>7</v>
      </c>
      <c r="C8" s="4" t="s">
        <v>10</v>
      </c>
      <c r="D8" s="24">
        <v>88</v>
      </c>
      <c r="E8" s="3" t="s">
        <v>55</v>
      </c>
    </row>
    <row r="9" spans="1:5" x14ac:dyDescent="0.25">
      <c r="A9" s="3">
        <v>20</v>
      </c>
      <c r="B9" s="3">
        <v>7</v>
      </c>
      <c r="C9" s="4" t="s">
        <v>29</v>
      </c>
      <c r="D9" s="24">
        <v>88</v>
      </c>
      <c r="E9" s="3" t="s">
        <v>53</v>
      </c>
    </row>
    <row r="10" spans="1:5" x14ac:dyDescent="0.25">
      <c r="A10" s="3">
        <v>26</v>
      </c>
      <c r="B10" s="3">
        <v>9</v>
      </c>
      <c r="C10" s="4" t="s">
        <v>35</v>
      </c>
      <c r="D10" s="23">
        <v>85</v>
      </c>
      <c r="E10" s="3" t="s">
        <v>55</v>
      </c>
    </row>
    <row r="11" spans="1:5" x14ac:dyDescent="0.25">
      <c r="A11" s="3">
        <v>12</v>
      </c>
      <c r="B11" s="3">
        <v>10</v>
      </c>
      <c r="C11" s="4" t="s">
        <v>21</v>
      </c>
      <c r="D11" s="24">
        <v>83</v>
      </c>
      <c r="E11" s="3" t="s">
        <v>55</v>
      </c>
    </row>
    <row r="12" spans="1:5" x14ac:dyDescent="0.25">
      <c r="A12" s="3">
        <v>28</v>
      </c>
      <c r="B12" s="3">
        <v>10</v>
      </c>
      <c r="C12" s="4" t="s">
        <v>37</v>
      </c>
      <c r="D12" s="24">
        <v>83</v>
      </c>
      <c r="E12" s="3" t="s">
        <v>56</v>
      </c>
    </row>
    <row r="13" spans="1:5" x14ac:dyDescent="0.25">
      <c r="A13" s="3">
        <v>35</v>
      </c>
      <c r="B13" s="3">
        <v>10</v>
      </c>
      <c r="C13" s="4" t="s">
        <v>44</v>
      </c>
      <c r="D13" s="24">
        <v>83</v>
      </c>
      <c r="E13" s="3" t="s">
        <v>55</v>
      </c>
    </row>
    <row r="14" spans="1:5" x14ac:dyDescent="0.25">
      <c r="A14" s="3">
        <v>14</v>
      </c>
      <c r="B14" s="3">
        <v>13</v>
      </c>
      <c r="C14" s="4" t="s">
        <v>23</v>
      </c>
      <c r="D14" s="25">
        <v>82</v>
      </c>
      <c r="E14" s="3" t="s">
        <v>56</v>
      </c>
    </row>
    <row r="15" spans="1:5" x14ac:dyDescent="0.25">
      <c r="A15" s="3">
        <v>21</v>
      </c>
      <c r="B15" s="3">
        <v>13</v>
      </c>
      <c r="C15" s="4" t="s">
        <v>30</v>
      </c>
      <c r="D15" s="25">
        <v>82</v>
      </c>
      <c r="E15" s="3" t="s">
        <v>56</v>
      </c>
    </row>
    <row r="16" spans="1:5" x14ac:dyDescent="0.25">
      <c r="A16" s="3">
        <v>23</v>
      </c>
      <c r="B16" s="3">
        <v>13</v>
      </c>
      <c r="C16" s="4" t="s">
        <v>32</v>
      </c>
      <c r="D16" s="25">
        <v>82</v>
      </c>
      <c r="E16" s="3" t="s">
        <v>55</v>
      </c>
    </row>
    <row r="17" spans="1:5" x14ac:dyDescent="0.25">
      <c r="A17" s="3">
        <v>3</v>
      </c>
      <c r="B17" s="3">
        <v>16</v>
      </c>
      <c r="C17" s="4" t="s">
        <v>12</v>
      </c>
      <c r="D17" s="24">
        <v>77</v>
      </c>
      <c r="E17" s="3" t="s">
        <v>55</v>
      </c>
    </row>
    <row r="18" spans="1:5" ht="15" x14ac:dyDescent="0.25">
      <c r="A18" s="3">
        <v>24</v>
      </c>
      <c r="B18" s="3">
        <v>16</v>
      </c>
      <c r="C18" s="7" t="s">
        <v>33</v>
      </c>
      <c r="D18" s="24">
        <v>77</v>
      </c>
      <c r="E18" s="3" t="s">
        <v>55</v>
      </c>
    </row>
    <row r="19" spans="1:5" x14ac:dyDescent="0.25">
      <c r="A19" s="3">
        <v>5</v>
      </c>
      <c r="B19" s="3">
        <v>18</v>
      </c>
      <c r="C19" s="4" t="s">
        <v>14</v>
      </c>
      <c r="D19" s="25">
        <v>76</v>
      </c>
      <c r="E19" s="3" t="s">
        <v>56</v>
      </c>
    </row>
    <row r="20" spans="1:5" x14ac:dyDescent="0.25">
      <c r="A20" s="3">
        <v>25</v>
      </c>
      <c r="B20" s="3">
        <v>18</v>
      </c>
      <c r="C20" s="4" t="s">
        <v>34</v>
      </c>
      <c r="D20" s="25">
        <v>76</v>
      </c>
      <c r="E20" s="3" t="s">
        <v>56</v>
      </c>
    </row>
    <row r="21" spans="1:5" x14ac:dyDescent="0.25">
      <c r="A21" s="3">
        <v>15</v>
      </c>
      <c r="B21" s="3">
        <v>20</v>
      </c>
      <c r="C21" s="4" t="s">
        <v>24</v>
      </c>
      <c r="D21" s="24">
        <v>75</v>
      </c>
      <c r="E21" s="3" t="s">
        <v>56</v>
      </c>
    </row>
    <row r="22" spans="1:5" x14ac:dyDescent="0.25">
      <c r="A22" s="3">
        <v>27</v>
      </c>
      <c r="B22" s="3">
        <v>20</v>
      </c>
      <c r="C22" s="4" t="s">
        <v>36</v>
      </c>
      <c r="D22" s="24">
        <v>75</v>
      </c>
      <c r="E22" s="3" t="s">
        <v>56</v>
      </c>
    </row>
    <row r="23" spans="1:5" x14ac:dyDescent="0.25">
      <c r="A23" s="3">
        <v>33</v>
      </c>
      <c r="B23" s="3">
        <v>22</v>
      </c>
      <c r="C23" s="4" t="s">
        <v>42</v>
      </c>
      <c r="D23" s="23">
        <v>74.819999999999993</v>
      </c>
      <c r="E23" s="3" t="s">
        <v>56</v>
      </c>
    </row>
    <row r="24" spans="1:5" x14ac:dyDescent="0.25">
      <c r="A24" s="3">
        <v>6</v>
      </c>
      <c r="B24" s="3">
        <v>23</v>
      </c>
      <c r="C24" s="4" t="s">
        <v>15</v>
      </c>
      <c r="D24" s="23">
        <v>72</v>
      </c>
      <c r="E24" s="3" t="s">
        <v>58</v>
      </c>
    </row>
    <row r="25" spans="1:5" x14ac:dyDescent="0.25">
      <c r="A25" s="3">
        <v>7</v>
      </c>
      <c r="B25" s="3">
        <v>24</v>
      </c>
      <c r="C25" s="4" t="s">
        <v>16</v>
      </c>
      <c r="D25" s="24">
        <v>71</v>
      </c>
      <c r="E25" s="3" t="s">
        <v>56</v>
      </c>
    </row>
    <row r="26" spans="1:5" x14ac:dyDescent="0.25">
      <c r="A26" s="3">
        <v>9</v>
      </c>
      <c r="B26" s="3">
        <v>24</v>
      </c>
      <c r="C26" s="4" t="s">
        <v>18</v>
      </c>
      <c r="D26" s="24">
        <v>71</v>
      </c>
      <c r="E26" s="3" t="s">
        <v>56</v>
      </c>
    </row>
    <row r="27" spans="1:5" x14ac:dyDescent="0.25">
      <c r="A27" s="3">
        <v>22</v>
      </c>
      <c r="B27" s="3">
        <v>24</v>
      </c>
      <c r="C27" s="4" t="s">
        <v>31</v>
      </c>
      <c r="D27" s="24">
        <v>71</v>
      </c>
      <c r="E27" s="3" t="s">
        <v>56</v>
      </c>
    </row>
    <row r="28" spans="1:5" x14ac:dyDescent="0.25">
      <c r="A28" s="3">
        <v>34</v>
      </c>
      <c r="B28" s="3">
        <v>24</v>
      </c>
      <c r="C28" s="4" t="s">
        <v>43</v>
      </c>
      <c r="D28" s="24">
        <v>71</v>
      </c>
      <c r="E28" s="3" t="s">
        <v>56</v>
      </c>
    </row>
    <row r="29" spans="1:5" x14ac:dyDescent="0.25">
      <c r="A29" s="3">
        <v>19</v>
      </c>
      <c r="B29" s="3">
        <v>28</v>
      </c>
      <c r="C29" s="4" t="s">
        <v>28</v>
      </c>
      <c r="D29" s="23">
        <v>70.94</v>
      </c>
      <c r="E29" s="3" t="s">
        <v>56</v>
      </c>
    </row>
    <row r="30" spans="1:5" ht="15" x14ac:dyDescent="0.25">
      <c r="A30" s="3">
        <v>36</v>
      </c>
      <c r="B30" s="3">
        <v>29</v>
      </c>
      <c r="C30" s="7" t="s">
        <v>45</v>
      </c>
      <c r="D30" s="23">
        <v>70.400000000000006</v>
      </c>
      <c r="E30" s="3" t="s">
        <v>56</v>
      </c>
    </row>
    <row r="31" spans="1:5" x14ac:dyDescent="0.25">
      <c r="A31" s="3">
        <v>10</v>
      </c>
      <c r="B31" s="3">
        <v>30</v>
      </c>
      <c r="C31" s="4" t="s">
        <v>19</v>
      </c>
      <c r="D31" s="24">
        <v>69</v>
      </c>
      <c r="E31" s="3" t="s">
        <v>56</v>
      </c>
    </row>
    <row r="32" spans="1:5" ht="15" x14ac:dyDescent="0.25">
      <c r="A32" s="3">
        <v>16</v>
      </c>
      <c r="B32" s="3">
        <v>30</v>
      </c>
      <c r="C32" s="7" t="s">
        <v>25</v>
      </c>
      <c r="D32" s="24">
        <v>69</v>
      </c>
      <c r="E32" s="3" t="s">
        <v>56</v>
      </c>
    </row>
    <row r="33" spans="1:5" x14ac:dyDescent="0.25">
      <c r="A33" s="3">
        <v>17</v>
      </c>
      <c r="B33" s="3">
        <v>32</v>
      </c>
      <c r="C33" s="4" t="s">
        <v>26</v>
      </c>
      <c r="D33" s="23">
        <v>66</v>
      </c>
      <c r="E33" s="3" t="s">
        <v>58</v>
      </c>
    </row>
    <row r="34" spans="1:5" x14ac:dyDescent="0.25">
      <c r="A34" s="3">
        <v>8</v>
      </c>
      <c r="B34" s="3">
        <v>33</v>
      </c>
      <c r="C34" s="4" t="s">
        <v>17</v>
      </c>
      <c r="D34" s="23">
        <v>65</v>
      </c>
      <c r="E34" s="3" t="s">
        <v>80</v>
      </c>
    </row>
    <row r="35" spans="1:5" x14ac:dyDescent="0.25">
      <c r="A35" s="3">
        <v>30</v>
      </c>
      <c r="B35" s="3">
        <v>34</v>
      </c>
      <c r="C35" s="4" t="s">
        <v>39</v>
      </c>
      <c r="D35" s="23">
        <v>63.97</v>
      </c>
      <c r="E35" s="3" t="s">
        <v>56</v>
      </c>
    </row>
    <row r="36" spans="1:5" x14ac:dyDescent="0.25">
      <c r="A36" s="3">
        <v>29</v>
      </c>
      <c r="B36" s="3">
        <v>35</v>
      </c>
      <c r="C36" s="4" t="s">
        <v>38</v>
      </c>
      <c r="D36" s="23">
        <v>61.97</v>
      </c>
      <c r="E36" s="3" t="s">
        <v>56</v>
      </c>
    </row>
    <row r="37" spans="1:5" x14ac:dyDescent="0.25">
      <c r="A37" s="3">
        <v>4</v>
      </c>
      <c r="B37" s="3">
        <v>36</v>
      </c>
      <c r="C37" s="4" t="s">
        <v>13</v>
      </c>
      <c r="D37" s="23">
        <v>59</v>
      </c>
      <c r="E37" s="3" t="s">
        <v>57</v>
      </c>
    </row>
  </sheetData>
  <sortState ref="A2:E37">
    <sortCondition descending="1" ref="D2:D37"/>
  </sortState>
  <phoneticPr fontId="1" type="noConversion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成绩明细</vt:lpstr>
      <vt:lpstr>成绩单用</vt:lpstr>
      <vt:lpstr>排名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AndyGao</dc:creator>
  <cp:lastModifiedBy>andygao</cp:lastModifiedBy>
  <cp:lastPrinted>2009-10-28T06:08:24Z</cp:lastPrinted>
  <dcterms:created xsi:type="dcterms:W3CDTF">2009-10-05T02:44:15Z</dcterms:created>
  <dcterms:modified xsi:type="dcterms:W3CDTF">2017-04-26T03:31:55Z</dcterms:modified>
</cp:coreProperties>
</file>